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CD4840C-DE3B-4769-B746-F3B304B43CF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2" r:id="rId1"/>
    <sheet name="Financials &amp; Productivity" sheetId="7" r:id="rId2"/>
    <sheet name="Absenteeism" sheetId="9" r:id="rId3"/>
    <sheet name="Emp Master" sheetId="10" r:id="rId4"/>
    <sheet name="HR Metrics" sheetId="13" r:id="rId5"/>
    <sheet name="KPIs" sheetId="12" r:id="rId6"/>
  </sheets>
  <definedNames>
    <definedName name="_xlnm._FilterDatabase" localSheetId="2" hidden="1">Absenteeism!$A$1:$G$37</definedName>
    <definedName name="_xlnm._FilterDatabase" localSheetId="0" hidden="1">Data!$B$19:$D$22</definedName>
    <definedName name="_xlnm._FilterDatabase" localSheetId="3" hidden="1">'Emp Master'!$A$1:$J$25</definedName>
    <definedName name="_xlnm._FilterDatabase" localSheetId="1" hidden="1">'Financials &amp; Productivity'!$A$1:$L$37</definedName>
    <definedName name="_xlnm._FilterDatabase" localSheetId="4" hidden="1">'HR Metrics'!$A$1:$N$37</definedName>
    <definedName name="_xlnm._FilterDatabase" localSheetId="5" hidden="1">KPIs!$A$1:$J$37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C33" i="2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2" i="13"/>
  <c r="G39" i="2"/>
  <c r="G38" i="2"/>
  <c r="H38" i="2"/>
  <c r="F39" i="2"/>
  <c r="F38" i="2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2" i="7"/>
  <c r="I69" i="2"/>
  <c r="C14" i="2"/>
  <c r="C12" i="2"/>
  <c r="C13" i="2"/>
  <c r="I67" i="2"/>
  <c r="C15" i="2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" i="10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C53" i="2"/>
  <c r="C47" i="2"/>
  <c r="F26" i="2"/>
  <c r="R4" i="2"/>
  <c r="E3" i="2"/>
  <c r="F2" i="2" s="1"/>
  <c r="E2" i="2"/>
  <c r="D2" i="2"/>
  <c r="V13" i="2"/>
  <c r="I68" i="2"/>
  <c r="I10" i="2"/>
  <c r="I4" i="2"/>
  <c r="D26" i="2" l="1"/>
  <c r="E39" i="2"/>
  <c r="F27" i="2" l="1"/>
  <c r="S10" i="2"/>
  <c r="J4" i="2" l="1"/>
  <c r="K4" i="2"/>
  <c r="L4" i="2"/>
  <c r="M4" i="2"/>
  <c r="N4" i="2"/>
  <c r="O4" i="2"/>
  <c r="P4" i="2"/>
  <c r="Q4" i="2"/>
  <c r="S4" i="2"/>
  <c r="T4" i="2"/>
  <c r="D27" i="2" l="1"/>
  <c r="U12" i="2" l="1"/>
  <c r="P10" i="2" l="1"/>
  <c r="P20" i="2"/>
  <c r="N10" i="2" l="1"/>
  <c r="M10" i="2" l="1"/>
  <c r="M20" i="2"/>
  <c r="C22" i="2" s="1"/>
  <c r="L10" i="2" l="1"/>
  <c r="U15" i="2" l="1"/>
  <c r="K10" i="2"/>
  <c r="U10" i="2" l="1"/>
  <c r="T18" i="2" l="1"/>
  <c r="J18" i="2"/>
  <c r="K18" i="2"/>
  <c r="L18" i="2"/>
  <c r="M18" i="2"/>
  <c r="N18" i="2"/>
  <c r="O18" i="2"/>
  <c r="P18" i="2"/>
  <c r="Q18" i="2"/>
  <c r="R18" i="2"/>
  <c r="S18" i="2"/>
  <c r="I18" i="2"/>
  <c r="U13" i="2"/>
  <c r="L9" i="2" l="1"/>
  <c r="U9" i="2" l="1"/>
  <c r="D41" i="2" l="1"/>
  <c r="C77" i="2"/>
  <c r="G77" i="2" l="1"/>
</calcChain>
</file>

<file path=xl/sharedStrings.xml><?xml version="1.0" encoding="utf-8"?>
<sst xmlns="http://schemas.openxmlformats.org/spreadsheetml/2006/main" count="849" uniqueCount="173">
  <si>
    <t xml:space="preserve">Month </t>
  </si>
  <si>
    <t xml:space="preserve">Budget </t>
  </si>
  <si>
    <t>HC</t>
  </si>
  <si>
    <t>Associates</t>
  </si>
  <si>
    <t>Staff</t>
  </si>
  <si>
    <t>Exe and above</t>
  </si>
  <si>
    <t>%</t>
  </si>
  <si>
    <t>Speedometer</t>
  </si>
  <si>
    <t>Pointer size</t>
  </si>
  <si>
    <t>Max</t>
  </si>
  <si>
    <t xml:space="preserve">Value </t>
  </si>
  <si>
    <t>Absenteeism</t>
  </si>
  <si>
    <t>Resignation</t>
  </si>
  <si>
    <t>Cost of Slaries/ Wages</t>
  </si>
  <si>
    <t>Revenue '</t>
  </si>
  <si>
    <t>Update the month &amp; the value monthly here</t>
  </si>
  <si>
    <t xml:space="preserve">Employee cost as a % of Revenue </t>
  </si>
  <si>
    <t xml:space="preserve">Kgs/Head </t>
  </si>
  <si>
    <t>Emp Cost Groth 2Y CAGR</t>
  </si>
  <si>
    <t>OP Groth 2Y CAGR</t>
  </si>
  <si>
    <t xml:space="preserve">Revenue Groth 2 Y CAGR </t>
  </si>
  <si>
    <t xml:space="preserve">Overtime </t>
  </si>
  <si>
    <t xml:space="preserve">Actual </t>
  </si>
  <si>
    <t xml:space="preserve">Talent Availability </t>
  </si>
  <si>
    <t xml:space="preserve">April </t>
  </si>
  <si>
    <t xml:space="preserve">May </t>
  </si>
  <si>
    <t xml:space="preserve">June </t>
  </si>
  <si>
    <t xml:space="preserve">July </t>
  </si>
  <si>
    <t>Aug</t>
  </si>
  <si>
    <t>Sep</t>
  </si>
  <si>
    <t>Oct</t>
  </si>
  <si>
    <t>Nov</t>
  </si>
  <si>
    <t>Dec</t>
  </si>
  <si>
    <t>Jan</t>
  </si>
  <si>
    <t>Feb</t>
  </si>
  <si>
    <t>Mar</t>
  </si>
  <si>
    <t>Training Programs</t>
  </si>
  <si>
    <t>Training Hrs</t>
  </si>
  <si>
    <t>Training HC</t>
  </si>
  <si>
    <t>T&amp;D</t>
  </si>
  <si>
    <t>April</t>
  </si>
  <si>
    <t>Q2 and Q4 only '</t>
  </si>
  <si>
    <t>Regretable losses - Below 2%</t>
  </si>
  <si>
    <t>Development plan execution 80%</t>
  </si>
  <si>
    <t xml:space="preserve">Internal Vacancies Vs Internal promotion </t>
  </si>
  <si>
    <t xml:space="preserve">Unauthorized abRate </t>
  </si>
  <si>
    <t xml:space="preserve">For the year </t>
  </si>
  <si>
    <t xml:space="preserve">Avg </t>
  </si>
  <si>
    <t>CR opened for more than 3M</t>
  </si>
  <si>
    <t>July</t>
  </si>
  <si>
    <t>August</t>
  </si>
  <si>
    <t>September</t>
  </si>
  <si>
    <t>October</t>
  </si>
  <si>
    <t>November</t>
  </si>
  <si>
    <t>December</t>
  </si>
  <si>
    <t>L/ Head</t>
  </si>
  <si>
    <t>January</t>
  </si>
  <si>
    <t>February</t>
  </si>
  <si>
    <t>March</t>
  </si>
  <si>
    <t>HC 24</t>
  </si>
  <si>
    <t>Total</t>
  </si>
  <si>
    <t>May</t>
  </si>
  <si>
    <t>June</t>
  </si>
  <si>
    <t>Actual</t>
  </si>
  <si>
    <t>Budget</t>
  </si>
  <si>
    <t>Cadre CBL</t>
  </si>
  <si>
    <t>Column1</t>
  </si>
  <si>
    <t>Column2</t>
  </si>
  <si>
    <t>Column3</t>
  </si>
  <si>
    <t>Column4</t>
  </si>
  <si>
    <t xml:space="preserve"> August Training Plan </t>
  </si>
  <si>
    <t xml:space="preserve">August  Actual </t>
  </si>
  <si>
    <t>Act pro HC Bud</t>
  </si>
  <si>
    <t>Time to fill (Days)</t>
  </si>
  <si>
    <t>Actual 24/25 Y</t>
  </si>
  <si>
    <t>Budget 25/26 Y</t>
  </si>
  <si>
    <t>Actual 25/26 YTM</t>
  </si>
  <si>
    <t>HC 25</t>
  </si>
  <si>
    <t>L Budget 25</t>
  </si>
  <si>
    <t>L 24 A</t>
  </si>
  <si>
    <t>L 25 A</t>
  </si>
  <si>
    <t>MP Bd</t>
  </si>
  <si>
    <t xml:space="preserve">PDP  Mid Year Reviews Compleation </t>
  </si>
  <si>
    <t xml:space="preserve">Nos of PDP  Mid Year reviews Planed </t>
  </si>
  <si>
    <t xml:space="preserve">Nos of PDP  Mid Year Reviews compleation </t>
  </si>
  <si>
    <t>Cadre fullfilment (97 %)</t>
  </si>
  <si>
    <t>25/26 YTM</t>
  </si>
  <si>
    <t>Budget YTM</t>
  </si>
  <si>
    <t>Actual YTM</t>
  </si>
  <si>
    <t>YTM</t>
  </si>
  <si>
    <t>HC YTM</t>
  </si>
  <si>
    <t>Cadre - Manpower</t>
  </si>
  <si>
    <t>Actual Feb</t>
  </si>
  <si>
    <t>HC March</t>
  </si>
  <si>
    <t>A</t>
  </si>
  <si>
    <t>Month</t>
  </si>
  <si>
    <t>Company</t>
  </si>
  <si>
    <t>Headcount</t>
  </si>
  <si>
    <t>Revenue</t>
  </si>
  <si>
    <t>B</t>
  </si>
  <si>
    <t>C</t>
  </si>
  <si>
    <t>Salary Cost</t>
  </si>
  <si>
    <t>Overtime Actual</t>
  </si>
  <si>
    <t>Overtime Budget</t>
  </si>
  <si>
    <t>Kgs Per Head Actual</t>
  </si>
  <si>
    <t>PDP Planned</t>
  </si>
  <si>
    <t>PDP Completed</t>
  </si>
  <si>
    <t>Emp Cost as a % of Revenue</t>
  </si>
  <si>
    <t>Absenteeism Actual  %</t>
  </si>
  <si>
    <t>Absenteeism Budget  %</t>
  </si>
  <si>
    <t>Department</t>
  </si>
  <si>
    <t>Gender</t>
  </si>
  <si>
    <t>Operations</t>
  </si>
  <si>
    <t>Male</t>
  </si>
  <si>
    <t>25-34</t>
  </si>
  <si>
    <t>Permanent</t>
  </si>
  <si>
    <t>Meets Expectations</t>
  </si>
  <si>
    <t>Female</t>
  </si>
  <si>
    <t>Contract</t>
  </si>
  <si>
    <t>Below Expectations</t>
  </si>
  <si>
    <t>Sales</t>
  </si>
  <si>
    <t>35-44</t>
  </si>
  <si>
    <t>Exceeds Expectations</t>
  </si>
  <si>
    <t>Finance</t>
  </si>
  <si>
    <t>45-54</t>
  </si>
  <si>
    <t>HR</t>
  </si>
  <si>
    <t>18-24</t>
  </si>
  <si>
    <t>Employee ID</t>
  </si>
  <si>
    <t>Age Band</t>
  </si>
  <si>
    <t>Employment Type</t>
  </si>
  <si>
    <t>Performance Rating</t>
  </si>
  <si>
    <t>Tenure Years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</si>
  <si>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</si>
  <si>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</si>
  <si>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</si>
  <si>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</si>
  <si>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</si>
  <si>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</si>
  <si>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</si>
  <si>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</si>
  <si>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</si>
  <si>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</si>
  <si>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B001</t>
  </si>
  <si>
    <t>B002</t>
  </si>
  <si>
    <t>B003</t>
  </si>
  <si>
    <t>B004</t>
  </si>
  <si>
    <t>B005</t>
  </si>
  <si>
    <t>B006</t>
  </si>
  <si>
    <t>B007</t>
  </si>
  <si>
    <t>B008</t>
  </si>
  <si>
    <t>C001</t>
  </si>
  <si>
    <t>C002</t>
  </si>
  <si>
    <t>C003</t>
  </si>
  <si>
    <t>C004</t>
  </si>
  <si>
    <t>C005</t>
  </si>
  <si>
    <t>C006</t>
  </si>
  <si>
    <t>Target Regrettable Loss %</t>
  </si>
  <si>
    <t>Target PDP %</t>
  </si>
  <si>
    <t>Target Internal Promo %</t>
  </si>
  <si>
    <t>Target Absenteeism %</t>
  </si>
  <si>
    <t>Target Overtime Variance %</t>
  </si>
  <si>
    <t>Regrettable Resignations</t>
  </si>
  <si>
    <t>Vacancies Filled</t>
  </si>
  <si>
    <t>Internal Promotions</t>
  </si>
  <si>
    <t>Cluster</t>
  </si>
  <si>
    <t>D</t>
  </si>
  <si>
    <t>Year</t>
  </si>
  <si>
    <t>Date</t>
  </si>
  <si>
    <t>Salary</t>
  </si>
  <si>
    <t>Resignations Associates</t>
  </si>
  <si>
    <t>Resignations Staff</t>
  </si>
  <si>
    <t>Resignations Exec Above</t>
  </si>
  <si>
    <t>Total Resignations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</si>
</sst>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0.00000000000000000000"/>
    <numFmt numFmtId="166" formatCode="0.0%"/>
    <numFmt numFmtId="167" formatCode="0.0"/>
    <numFmt numFmtId="168" formatCode="_(* #,##0_);_(* \(#,##0\);_(* &quot;-&quot;??_);_(@_)"/>
    <numFmt numFmtId="169" formatCode="0.00000000000000"/>
    <numFmt numFmtId="170" formatCode="_-* #,##0_-;\-* #,##0_-;_-* &quot;-&quot;??_-;_-@_-"/>
    <numFmt numFmtId="171" formatCode="[$-409]mmm\-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theme="1"/>
      <name val="Segoe UI"/>
      <family val="2"/>
    </font>
    <font>
      <i/>
      <sz val="11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10" xfId="0" applyBorder="1"/>
    <xf numFmtId="0" fontId="0" fillId="0" borderId="11" xfId="0" applyBorder="1"/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0" fillId="34" borderId="10" xfId="0" applyFill="1" applyBorder="1"/>
    <xf numFmtId="0" fontId="0" fillId="34" borderId="10" xfId="0" applyFill="1" applyBorder="1" applyAlignment="1">
      <alignment horizontal="center"/>
    </xf>
    <xf numFmtId="43" fontId="0" fillId="0" borderId="0" xfId="0" applyNumberFormat="1"/>
    <xf numFmtId="0" fontId="0" fillId="35" borderId="10" xfId="0" applyFill="1" applyBorder="1" applyAlignment="1">
      <alignment horizontal="center"/>
    </xf>
    <xf numFmtId="1" fontId="0" fillId="35" borderId="1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17" fillId="0" borderId="0" xfId="0" applyFont="1" applyAlignment="1">
      <alignment horizontal="center"/>
    </xf>
    <xf numFmtId="2" fontId="0" fillId="0" borderId="10" xfId="0" applyNumberFormat="1" applyBorder="1"/>
    <xf numFmtId="0" fontId="0" fillId="0" borderId="15" xfId="0" applyBorder="1"/>
    <xf numFmtId="0" fontId="0" fillId="0" borderId="0" xfId="0" quotePrefix="1" applyAlignment="1">
      <alignment horizontal="center"/>
    </xf>
    <xf numFmtId="0" fontId="0" fillId="0" borderId="10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13" fillId="36" borderId="0" xfId="0" applyFont="1" applyFill="1" applyAlignment="1">
      <alignment horizontal="center"/>
    </xf>
    <xf numFmtId="168" fontId="0" fillId="0" borderId="0" xfId="42" applyNumberFormat="1" applyFont="1" applyBorder="1" applyAlignment="1">
      <alignment horizontal="center"/>
    </xf>
    <xf numFmtId="168" fontId="0" fillId="0" borderId="0" xfId="0" applyNumberFormat="1"/>
    <xf numFmtId="0" fontId="19" fillId="36" borderId="14" xfId="0" applyFont="1" applyFill="1" applyBorder="1"/>
    <xf numFmtId="0" fontId="0" fillId="34" borderId="16" xfId="0" applyFill="1" applyBorder="1" applyAlignment="1">
      <alignment horizontal="center"/>
    </xf>
    <xf numFmtId="0" fontId="17" fillId="0" borderId="0" xfId="0" applyFont="1"/>
    <xf numFmtId="0" fontId="13" fillId="36" borderId="0" xfId="0" applyFont="1" applyFill="1"/>
    <xf numFmtId="0" fontId="19" fillId="36" borderId="0" xfId="0" applyFont="1" applyFill="1"/>
    <xf numFmtId="0" fontId="19" fillId="0" borderId="0" xfId="0" applyFont="1"/>
    <xf numFmtId="0" fontId="13" fillId="0" borderId="0" xfId="0" applyFont="1"/>
    <xf numFmtId="0" fontId="19" fillId="36" borderId="14" xfId="0" applyFont="1" applyFill="1" applyBorder="1" applyAlignment="1">
      <alignment horizontal="left"/>
    </xf>
    <xf numFmtId="0" fontId="13" fillId="36" borderId="14" xfId="0" applyFont="1" applyFill="1" applyBorder="1" applyAlignment="1">
      <alignment horizontal="left"/>
    </xf>
    <xf numFmtId="0" fontId="13" fillId="36" borderId="14" xfId="0" applyFont="1" applyFill="1" applyBorder="1"/>
    <xf numFmtId="0" fontId="18" fillId="0" borderId="13" xfId="0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43" fontId="0" fillId="35" borderId="10" xfId="42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7" fillId="0" borderId="0" xfId="0" applyNumberFormat="1" applyFont="1" applyAlignment="1">
      <alignment horizontal="center"/>
    </xf>
    <xf numFmtId="43" fontId="0" fillId="0" borderId="10" xfId="42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  <xf numFmtId="1" fontId="0" fillId="0" borderId="0" xfId="0" applyNumberFormat="1"/>
    <xf numFmtId="0" fontId="21" fillId="35" borderId="0" xfId="0" applyFont="1" applyFill="1"/>
    <xf numFmtId="168" fontId="22" fillId="0" borderId="0" xfId="42" applyNumberFormat="1" applyFont="1" applyFill="1" applyBorder="1" applyAlignment="1">
      <alignment horizontal="right" vertical="center"/>
    </xf>
    <xf numFmtId="166" fontId="0" fillId="0" borderId="0" xfId="43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43" fontId="0" fillId="0" borderId="0" xfId="42" applyFont="1" applyFill="1" applyBorder="1" applyAlignment="1">
      <alignment horizontal="center"/>
    </xf>
    <xf numFmtId="43" fontId="0" fillId="0" borderId="0" xfId="42" applyFont="1"/>
    <xf numFmtId="168" fontId="0" fillId="0" borderId="0" xfId="42" applyNumberFormat="1" applyFont="1"/>
    <xf numFmtId="168" fontId="0" fillId="0" borderId="0" xfId="42" applyNumberFormat="1" applyFont="1" applyBorder="1"/>
    <xf numFmtId="168" fontId="0" fillId="0" borderId="0" xfId="42" applyNumberFormat="1" applyFont="1" applyFill="1" applyBorder="1"/>
    <xf numFmtId="0" fontId="1" fillId="0" borderId="0" xfId="0" applyFont="1" applyAlignment="1">
      <alignment horizontal="center"/>
    </xf>
    <xf numFmtId="9" fontId="0" fillId="0" borderId="0" xfId="0" applyNumberFormat="1"/>
    <xf numFmtId="9" fontId="22" fillId="0" borderId="0" xfId="42" applyNumberFormat="1" applyFont="1" applyFill="1" applyBorder="1" applyAlignment="1">
      <alignment horizontal="right" vertical="center"/>
    </xf>
    <xf numFmtId="9" fontId="0" fillId="35" borderId="10" xfId="0" applyNumberFormat="1" applyFill="1" applyBorder="1"/>
    <xf numFmtId="0" fontId="0" fillId="0" borderId="0" xfId="0" applyAlignment="1">
      <alignment horizontal="center" vertical="center"/>
    </xf>
    <xf numFmtId="167" fontId="0" fillId="0" borderId="10" xfId="0" applyNumberFormat="1" applyBorder="1" applyAlignment="1">
      <alignment horizontal="center"/>
    </xf>
    <xf numFmtId="168" fontId="0" fillId="0" borderId="10" xfId="42" applyNumberFormat="1" applyFont="1" applyFill="1" applyBorder="1" applyAlignment="1">
      <alignment horizontal="center"/>
    </xf>
    <xf numFmtId="9" fontId="0" fillId="0" borderId="10" xfId="42" applyNumberFormat="1" applyFont="1" applyBorder="1" applyAlignment="1">
      <alignment horizontal="center"/>
    </xf>
    <xf numFmtId="168" fontId="24" fillId="0" borderId="0" xfId="42" applyNumberFormat="1" applyFont="1" applyFill="1" applyBorder="1" applyAlignment="1">
      <alignment horizontal="center"/>
    </xf>
    <xf numFmtId="168" fontId="16" fillId="0" borderId="0" xfId="0" applyNumberFormat="1" applyFont="1"/>
    <xf numFmtId="0" fontId="21" fillId="0" borderId="0" xfId="0" applyFont="1"/>
    <xf numFmtId="0" fontId="13" fillId="38" borderId="0" xfId="0" applyFont="1" applyFill="1" applyAlignment="1">
      <alignment horizontal="center"/>
    </xf>
    <xf numFmtId="9" fontId="0" fillId="35" borderId="10" xfId="43" applyFont="1" applyFill="1" applyBorder="1" applyAlignment="1">
      <alignment horizontal="center"/>
    </xf>
    <xf numFmtId="168" fontId="0" fillId="0" borderId="10" xfId="42" applyNumberFormat="1" applyFont="1" applyFill="1" applyBorder="1"/>
    <xf numFmtId="168" fontId="0" fillId="0" borderId="10" xfId="42" applyNumberFormat="1" applyFont="1" applyBorder="1"/>
    <xf numFmtId="169" fontId="0" fillId="0" borderId="0" xfId="0" applyNumberFormat="1"/>
    <xf numFmtId="0" fontId="14" fillId="0" borderId="0" xfId="0" applyFont="1"/>
    <xf numFmtId="9" fontId="0" fillId="0" borderId="0" xfId="43" applyFont="1" applyFill="1" applyBorder="1" applyAlignment="1">
      <alignment horizontal="center"/>
    </xf>
    <xf numFmtId="0" fontId="13" fillId="37" borderId="0" xfId="0" applyFont="1" applyFill="1" applyAlignment="1">
      <alignment horizontal="center"/>
    </xf>
    <xf numFmtId="9" fontId="0" fillId="35" borderId="10" xfId="42" applyNumberFormat="1" applyFont="1" applyFill="1" applyBorder="1" applyAlignment="1">
      <alignment horizontal="center"/>
    </xf>
    <xf numFmtId="43" fontId="0" fillId="0" borderId="10" xfId="42" applyFont="1" applyBorder="1"/>
    <xf numFmtId="0" fontId="13" fillId="39" borderId="0" xfId="0" applyFont="1" applyFill="1" applyAlignment="1">
      <alignment horizontal="center"/>
    </xf>
    <xf numFmtId="170" fontId="1" fillId="0" borderId="10" xfId="42" applyNumberFormat="1" applyFont="1" applyBorder="1"/>
    <xf numFmtId="2" fontId="14" fillId="35" borderId="0" xfId="0" applyNumberFormat="1" applyFont="1" applyFill="1" applyAlignment="1">
      <alignment horizontal="center"/>
    </xf>
    <xf numFmtId="0" fontId="0" fillId="40" borderId="0" xfId="0" applyFill="1"/>
    <xf numFmtId="168" fontId="27" fillId="0" borderId="0" xfId="0" applyNumberFormat="1" applyFont="1"/>
    <xf numFmtId="0" fontId="27" fillId="0" borderId="0" xfId="0" applyFont="1"/>
    <xf numFmtId="168" fontId="28" fillId="0" borderId="0" xfId="42" applyNumberFormat="1" applyFont="1" applyFill="1" applyBorder="1" applyAlignment="1">
      <alignment horizontal="center"/>
    </xf>
    <xf numFmtId="168" fontId="29" fillId="0" borderId="0" xfId="0" applyNumberFormat="1" applyFont="1"/>
    <xf numFmtId="0" fontId="29" fillId="0" borderId="0" xfId="0" applyFont="1"/>
    <xf numFmtId="0" fontId="17" fillId="40" borderId="0" xfId="0" applyFont="1" applyFill="1"/>
    <xf numFmtId="168" fontId="26" fillId="0" borderId="10" xfId="42" applyNumberFormat="1" applyFont="1" applyBorder="1"/>
    <xf numFmtId="9" fontId="0" fillId="0" borderId="0" xfId="43" applyFont="1"/>
    <xf numFmtId="10" fontId="0" fillId="0" borderId="0" xfId="43" applyNumberFormat="1" applyFont="1"/>
    <xf numFmtId="0" fontId="0" fillId="41" borderId="0" xfId="0" applyFill="1" applyAlignment="1">
      <alignment horizontal="center"/>
    </xf>
    <xf numFmtId="0" fontId="0" fillId="42" borderId="0" xfId="0" applyFill="1"/>
    <xf numFmtId="168" fontId="0" fillId="42" borderId="0" xfId="0" applyNumberFormat="1" applyFill="1"/>
    <xf numFmtId="170" fontId="0" fillId="35" borderId="10" xfId="0" applyNumberFormat="1" applyFill="1" applyBorder="1" applyAlignment="1">
      <alignment horizontal="left" indent="2"/>
    </xf>
    <xf numFmtId="170" fontId="0" fillId="35" borderId="10" xfId="0" applyNumberFormat="1" applyFill="1" applyBorder="1" applyAlignment="1">
      <alignment horizontal="center"/>
    </xf>
    <xf numFmtId="170" fontId="0" fillId="35" borderId="10" xfId="42" applyNumberFormat="1" applyFont="1" applyFill="1" applyBorder="1" applyAlignment="1">
      <alignment horizontal="right"/>
    </xf>
    <xf numFmtId="0" fontId="0" fillId="42" borderId="0" xfId="0" applyFill="1" applyAlignment="1">
      <alignment horizontal="center"/>
    </xf>
    <xf numFmtId="0" fontId="17" fillId="42" borderId="0" xfId="0" applyFont="1" applyFill="1"/>
    <xf numFmtId="9" fontId="0" fillId="35" borderId="13" xfId="42" applyNumberFormat="1" applyFont="1" applyFill="1" applyBorder="1" applyAlignment="1">
      <alignment horizontal="center"/>
    </xf>
    <xf numFmtId="1" fontId="0" fillId="38" borderId="0" xfId="0" applyNumberFormat="1" applyFill="1" applyAlignment="1">
      <alignment horizontal="center"/>
    </xf>
    <xf numFmtId="0" fontId="17" fillId="38" borderId="0" xfId="0" applyFont="1" applyFill="1" applyAlignment="1">
      <alignment horizontal="center"/>
    </xf>
    <xf numFmtId="0" fontId="0" fillId="38" borderId="0" xfId="0" applyFill="1" applyAlignment="1">
      <alignment horizontal="center"/>
    </xf>
    <xf numFmtId="0" fontId="0" fillId="38" borderId="10" xfId="0" applyFill="1" applyBorder="1" applyAlignment="1">
      <alignment horizontal="center" vertical="center"/>
    </xf>
    <xf numFmtId="0" fontId="0" fillId="38" borderId="0" xfId="0" applyFill="1"/>
    <xf numFmtId="9" fontId="23" fillId="0" borderId="0" xfId="43" applyFont="1" applyFill="1" applyBorder="1" applyAlignment="1">
      <alignment horizontal="center"/>
    </xf>
    <xf numFmtId="165" fontId="0" fillId="38" borderId="0" xfId="0" applyNumberFormat="1" applyFill="1" applyAlignment="1">
      <alignment horizontal="center"/>
    </xf>
    <xf numFmtId="168" fontId="0" fillId="35" borderId="10" xfId="42" applyNumberFormat="1" applyFont="1" applyFill="1" applyBorder="1"/>
    <xf numFmtId="2" fontId="25" fillId="35" borderId="0" xfId="0" applyNumberFormat="1" applyFont="1" applyFill="1" applyAlignment="1">
      <alignment horizontal="center"/>
    </xf>
    <xf numFmtId="1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6" fillId="0" borderId="0" xfId="0" applyFont="1"/>
    <xf numFmtId="0" fontId="16" fillId="0" borderId="14" xfId="0" applyFont="1" applyBorder="1"/>
    <xf numFmtId="168" fontId="16" fillId="0" borderId="14" xfId="42" applyNumberFormat="1" applyFont="1" applyBorder="1"/>
    <xf numFmtId="9" fontId="16" fillId="0" borderId="14" xfId="43" applyFont="1" applyBorder="1"/>
    <xf numFmtId="0" fontId="16" fillId="0" borderId="14" xfId="0" applyFont="1" applyBorder="1" applyAlignment="1">
      <alignment horizontal="center"/>
    </xf>
    <xf numFmtId="43" fontId="0" fillId="0" borderId="0" xfId="42" applyFont="1" applyAlignment="1">
      <alignment horizontal="center"/>
    </xf>
    <xf numFmtId="171" fontId="0" fillId="0" borderId="0" xfId="0" applyNumberFormat="1"/>
    <xf numFmtId="171" fontId="16" fillId="0" borderId="14" xfId="0" applyNumberFormat="1" applyFont="1" applyBorder="1"/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19" fillId="0" borderId="17" xfId="0" applyFont="1" applyBorder="1" applyAlignment="1">
      <alignment horizontal="center"/>
    </xf>
    <xf numFmtId="0" fontId="13" fillId="36" borderId="0" xfId="0" applyFont="1" applyFill="1" applyAlignment="1">
      <alignment horizontal="left"/>
    </xf>
    <xf numFmtId="0" fontId="13" fillId="36" borderId="14" xfId="0" applyFont="1" applyFill="1" applyBorder="1" applyAlignment="1">
      <alignment horizontal="left"/>
    </xf>
    <xf numFmtId="0" fontId="19" fillId="0" borderId="0" xfId="0" applyFont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9" formatCode="0.0000000000000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6D6D"/>
      <color rgb="FF9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9:E22" totalsRowShown="0" headerRowDxfId="7" headerRowBorderDxfId="6" tableBorderDxfId="5" totalsRowBorderDxfId="4">
  <tableColumns count="4">
    <tableColumn id="1" xr3:uid="{00000000-0010-0000-0000-000001000000}" name="Column3" dataDxfId="3"/>
    <tableColumn id="2" xr3:uid="{00000000-0010-0000-0000-000002000000}" name="Column4" dataDxfId="2" dataCellStyle="Comma"/>
    <tableColumn id="3" xr3:uid="{00000000-0010-0000-0000-000003000000}" name="Column1" dataDxfId="1" dataCellStyle="Comma"/>
    <tableColumn id="4" xr3:uid="{00000000-0010-0000-0000-000004000000}" name="Column2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00"/>
  </sheetPr>
  <dimension ref="A1:W124"/>
  <sheetViews>
    <sheetView zoomScaleNormal="100" workbookViewId="0"/>
  </sheetViews>
  <sheetFormatPr defaultRowHeight="14.4" x14ac:dyDescent="0.3"/>
  <cols>
    <col min="1" max="1" width="9.109375" style="11"/>
    <col min="2" max="2" width="37.33203125" bestFit="1" customWidth="1"/>
    <col min="3" max="4" width="17.5546875" style="11" customWidth="1"/>
    <col min="5" max="5" width="18.88671875" bestFit="1" customWidth="1"/>
    <col min="6" max="6" width="11.44140625" style="11" bestFit="1" customWidth="1"/>
    <col min="7" max="7" width="15" style="11" customWidth="1"/>
    <col min="8" max="8" width="19.44140625" bestFit="1" customWidth="1"/>
    <col min="9" max="10" width="16.44140625" bestFit="1" customWidth="1"/>
    <col min="11" max="11" width="16.88671875" bestFit="1" customWidth="1"/>
    <col min="12" max="12" width="15.109375" bestFit="1" customWidth="1"/>
    <col min="13" max="17" width="15.33203125" bestFit="1" customWidth="1"/>
    <col min="18" max="18" width="16.109375" bestFit="1" customWidth="1"/>
    <col min="19" max="19" width="21" customWidth="1"/>
    <col min="20" max="20" width="14" bestFit="1" customWidth="1"/>
    <col min="21" max="22" width="11.5546875" bestFit="1" customWidth="1"/>
  </cols>
  <sheetData>
    <row r="1" spans="1:23" ht="18" x14ac:dyDescent="0.35">
      <c r="A1" s="60">
        <v>1</v>
      </c>
      <c r="B1" s="25" t="s">
        <v>16</v>
      </c>
      <c r="C1" s="26"/>
      <c r="D1" s="27"/>
      <c r="I1" s="43" t="s">
        <v>40</v>
      </c>
      <c r="J1" s="43" t="s">
        <v>25</v>
      </c>
      <c r="K1" s="43" t="s">
        <v>26</v>
      </c>
      <c r="L1" s="43" t="s">
        <v>49</v>
      </c>
      <c r="M1" s="43" t="s">
        <v>50</v>
      </c>
      <c r="N1" s="43" t="s">
        <v>51</v>
      </c>
      <c r="O1" s="43" t="s">
        <v>52</v>
      </c>
      <c r="P1" s="43" t="s">
        <v>53</v>
      </c>
      <c r="Q1" s="43" t="s">
        <v>54</v>
      </c>
      <c r="R1" s="43" t="s">
        <v>56</v>
      </c>
      <c r="S1" s="43" t="s">
        <v>57</v>
      </c>
      <c r="T1" s="43" t="s">
        <v>58</v>
      </c>
    </row>
    <row r="2" spans="1:23" x14ac:dyDescent="0.3">
      <c r="B2" s="1" t="s">
        <v>13</v>
      </c>
      <c r="C2" s="99">
        <v>85020101</v>
      </c>
      <c r="D2" s="100">
        <f>C2/C3*100</f>
        <v>1.4626252979409309</v>
      </c>
      <c r="E2" s="34">
        <f>AVERAGE(I2:V2)</f>
        <v>148395390.81818181</v>
      </c>
      <c r="F2" s="72">
        <f>E2/E3*100</f>
        <v>6.5787600067206959</v>
      </c>
      <c r="H2" s="1" t="s">
        <v>13</v>
      </c>
      <c r="I2" s="71">
        <v>125826505</v>
      </c>
      <c r="J2" s="71">
        <v>26947436</v>
      </c>
      <c r="K2" s="71">
        <v>51989973</v>
      </c>
      <c r="L2" s="71">
        <v>18914200</v>
      </c>
      <c r="M2" s="63">
        <v>52786195</v>
      </c>
      <c r="N2" s="63">
        <v>31178814</v>
      </c>
      <c r="O2" s="63">
        <v>82582639</v>
      </c>
      <c r="P2" s="63">
        <v>53530143</v>
      </c>
      <c r="Q2" s="63">
        <v>99085507</v>
      </c>
      <c r="R2" s="63">
        <v>990487786</v>
      </c>
      <c r="S2" s="63">
        <v>99020101</v>
      </c>
      <c r="T2" s="63"/>
    </row>
    <row r="3" spans="1:23" x14ac:dyDescent="0.3">
      <c r="B3" s="1" t="s">
        <v>14</v>
      </c>
      <c r="C3" s="99">
        <v>5812842231</v>
      </c>
      <c r="E3" s="34">
        <f>AVERAGE(I3:V3)</f>
        <v>2255674179.7327275</v>
      </c>
      <c r="H3" s="1" t="s">
        <v>14</v>
      </c>
      <c r="I3" s="71">
        <v>7366773256</v>
      </c>
      <c r="J3" s="71">
        <v>222725559</v>
      </c>
      <c r="K3" s="71">
        <v>813895469</v>
      </c>
      <c r="L3" s="71">
        <v>8977111822.8500004</v>
      </c>
      <c r="M3" s="63">
        <v>857857499.63</v>
      </c>
      <c r="N3" s="63">
        <v>1464492533</v>
      </c>
      <c r="O3" s="63">
        <v>1272194008</v>
      </c>
      <c r="P3" s="63">
        <v>791286362</v>
      </c>
      <c r="Q3" s="63">
        <v>799655663.58000004</v>
      </c>
      <c r="R3" s="63">
        <v>1033581573</v>
      </c>
      <c r="S3" s="63">
        <v>1212842231</v>
      </c>
      <c r="T3" s="63"/>
    </row>
    <row r="4" spans="1:23" x14ac:dyDescent="0.3">
      <c r="C4" s="44"/>
      <c r="E4" s="84"/>
      <c r="I4" s="97">
        <f>I2/I3</f>
        <v>1.7080273903844992E-2</v>
      </c>
      <c r="J4" s="97">
        <f t="shared" ref="J4:T4" si="0">J2/J3</f>
        <v>0.1209894190904242</v>
      </c>
      <c r="K4" s="97">
        <f t="shared" si="0"/>
        <v>6.3877948680409719E-2</v>
      </c>
      <c r="L4" s="97">
        <f t="shared" si="0"/>
        <v>2.106935991579888E-3</v>
      </c>
      <c r="M4" s="97">
        <f t="shared" si="0"/>
        <v>6.1532591395152526E-2</v>
      </c>
      <c r="N4" s="97">
        <f t="shared" si="0"/>
        <v>2.1289841564525069E-2</v>
      </c>
      <c r="O4" s="97">
        <f t="shared" si="0"/>
        <v>6.491355758688655E-2</v>
      </c>
      <c r="P4" s="97">
        <f t="shared" si="0"/>
        <v>6.7649520541085736E-2</v>
      </c>
      <c r="Q4" s="97">
        <f t="shared" si="0"/>
        <v>0.12391021725076193</v>
      </c>
      <c r="R4" s="97">
        <f>R2/R3</f>
        <v>0.9583063513072132</v>
      </c>
      <c r="S4" s="97">
        <f t="shared" si="0"/>
        <v>8.164301874478512E-2</v>
      </c>
      <c r="T4" s="97" t="e">
        <f t="shared" si="0"/>
        <v>#DIV/0!</v>
      </c>
    </row>
    <row r="5" spans="1:23" x14ac:dyDescent="0.3">
      <c r="E5" s="84"/>
      <c r="I5" s="53"/>
      <c r="J5" s="53"/>
      <c r="K5" s="53"/>
    </row>
    <row r="6" spans="1:23" x14ac:dyDescent="0.3">
      <c r="B6" s="1" t="s">
        <v>18</v>
      </c>
      <c r="C6" s="52">
        <v>0.12</v>
      </c>
      <c r="D6" s="20"/>
      <c r="E6" s="85"/>
      <c r="H6" s="50"/>
    </row>
    <row r="7" spans="1:23" x14ac:dyDescent="0.3">
      <c r="B7" s="1" t="s">
        <v>19</v>
      </c>
      <c r="C7" s="52">
        <v>0.18</v>
      </c>
      <c r="D7" s="20"/>
      <c r="E7" s="85"/>
      <c r="H7" s="50"/>
    </row>
    <row r="8" spans="1:23" ht="15.6" x14ac:dyDescent="0.3">
      <c r="B8" s="1" t="s">
        <v>20</v>
      </c>
      <c r="C8" s="52">
        <v>0.24</v>
      </c>
      <c r="H8" s="51"/>
      <c r="I8" s="41"/>
    </row>
    <row r="9" spans="1:23" x14ac:dyDescent="0.3">
      <c r="E9" s="73"/>
      <c r="H9" s="42" t="s">
        <v>59</v>
      </c>
      <c r="I9" s="57">
        <v>154</v>
      </c>
      <c r="J9" s="49">
        <v>166</v>
      </c>
      <c r="K9" s="49">
        <v>171</v>
      </c>
      <c r="L9" s="11">
        <f>71+100</f>
        <v>171</v>
      </c>
      <c r="M9" s="11">
        <v>172</v>
      </c>
      <c r="N9" s="11">
        <v>170</v>
      </c>
      <c r="O9" s="11">
        <v>168</v>
      </c>
      <c r="P9" s="11">
        <v>168</v>
      </c>
      <c r="Q9" s="11">
        <v>168</v>
      </c>
      <c r="R9" s="11">
        <v>167</v>
      </c>
      <c r="S9" s="11">
        <v>167</v>
      </c>
      <c r="T9" s="11">
        <v>167</v>
      </c>
      <c r="U9" s="39">
        <f>AVERAGE(I9:T9)</f>
        <v>167.41666666666666</v>
      </c>
    </row>
    <row r="10" spans="1:23" ht="18" x14ac:dyDescent="0.35">
      <c r="A10" s="60">
        <v>2</v>
      </c>
      <c r="B10" s="31" t="s">
        <v>55</v>
      </c>
      <c r="C10" s="22"/>
      <c r="D10" s="89"/>
      <c r="H10" s="42" t="s">
        <v>77</v>
      </c>
      <c r="I10" s="57">
        <f>96+71</f>
        <v>167</v>
      </c>
      <c r="J10" s="49">
        <v>170</v>
      </c>
      <c r="K10" s="49">
        <f>101+72</f>
        <v>173</v>
      </c>
      <c r="L10" s="11">
        <f>109+71</f>
        <v>180</v>
      </c>
      <c r="M10" s="11">
        <f>117+73</f>
        <v>190</v>
      </c>
      <c r="N10" s="11">
        <f>119+71</f>
        <v>190</v>
      </c>
      <c r="O10" s="11">
        <v>180</v>
      </c>
      <c r="P10" s="11">
        <f>94+76</f>
        <v>170</v>
      </c>
      <c r="Q10" s="11">
        <v>170</v>
      </c>
      <c r="R10" s="11">
        <v>174</v>
      </c>
      <c r="S10" s="11">
        <f>76+97</f>
        <v>173</v>
      </c>
      <c r="T10" s="11">
        <v>174</v>
      </c>
      <c r="U10" s="21">
        <f>AVERAGE(I10:T10)</f>
        <v>175.91666666666666</v>
      </c>
    </row>
    <row r="11" spans="1:23" x14ac:dyDescent="0.3">
      <c r="B11" s="6"/>
      <c r="C11" s="23" t="s">
        <v>17</v>
      </c>
      <c r="D11" s="89"/>
      <c r="I11" s="43" t="s">
        <v>40</v>
      </c>
      <c r="J11" s="43" t="s">
        <v>25</v>
      </c>
      <c r="K11" s="43" t="s">
        <v>26</v>
      </c>
      <c r="L11" s="43" t="s">
        <v>49</v>
      </c>
      <c r="M11" s="43" t="s">
        <v>50</v>
      </c>
      <c r="N11" s="43" t="s">
        <v>51</v>
      </c>
      <c r="O11" s="43" t="s">
        <v>52</v>
      </c>
      <c r="P11" s="43" t="s">
        <v>53</v>
      </c>
      <c r="Q11" s="43" t="s">
        <v>54</v>
      </c>
      <c r="R11" s="43" t="s">
        <v>56</v>
      </c>
      <c r="S11" s="43" t="s">
        <v>57</v>
      </c>
      <c r="T11" s="43" t="s">
        <v>58</v>
      </c>
      <c r="U11" s="43" t="s">
        <v>60</v>
      </c>
      <c r="V11" s="47"/>
    </row>
    <row r="12" spans="1:23" x14ac:dyDescent="0.3">
      <c r="B12" s="1" t="s">
        <v>92</v>
      </c>
      <c r="C12" s="86">
        <f>R15/R10</f>
        <v>10664.413793103447</v>
      </c>
      <c r="D12" s="89"/>
      <c r="H12" t="s">
        <v>79</v>
      </c>
      <c r="I12" s="48">
        <v>860592</v>
      </c>
      <c r="J12" s="48">
        <v>4221405</v>
      </c>
      <c r="K12" s="47">
        <v>2500874</v>
      </c>
      <c r="L12" s="48">
        <v>2390338</v>
      </c>
      <c r="M12" s="48">
        <v>3315266</v>
      </c>
      <c r="N12" s="48">
        <v>1053765</v>
      </c>
      <c r="O12" s="48">
        <v>1256069</v>
      </c>
      <c r="P12" s="48">
        <v>995265</v>
      </c>
      <c r="Q12" s="48">
        <v>1339394</v>
      </c>
      <c r="R12" s="48">
        <v>1106773</v>
      </c>
      <c r="S12" s="48">
        <v>1083551</v>
      </c>
      <c r="T12" s="48">
        <v>904919</v>
      </c>
      <c r="U12" s="58">
        <f>AVERAGE(I12:T12)</f>
        <v>1752350.9166666667</v>
      </c>
      <c r="V12" t="s">
        <v>46</v>
      </c>
      <c r="W12" s="21"/>
    </row>
    <row r="13" spans="1:23" x14ac:dyDescent="0.3">
      <c r="B13" s="1" t="s">
        <v>76</v>
      </c>
      <c r="C13" s="87">
        <f>U15/U10</f>
        <v>8590.0345807674094</v>
      </c>
      <c r="D13" s="89"/>
      <c r="H13" s="65" t="s">
        <v>78</v>
      </c>
      <c r="I13" s="47">
        <v>986000</v>
      </c>
      <c r="J13" s="47">
        <v>1138000</v>
      </c>
      <c r="K13" s="46">
        <v>1444000</v>
      </c>
      <c r="L13" s="46">
        <v>1399000</v>
      </c>
      <c r="M13" s="46">
        <v>1481000</v>
      </c>
      <c r="N13" s="46">
        <v>894000</v>
      </c>
      <c r="O13" s="46">
        <v>1460000</v>
      </c>
      <c r="P13" s="46">
        <v>1929000</v>
      </c>
      <c r="Q13" s="46">
        <v>1814000</v>
      </c>
      <c r="R13" s="46">
        <v>1839000</v>
      </c>
      <c r="S13" s="46">
        <v>1719000</v>
      </c>
      <c r="T13" s="46">
        <v>1840000</v>
      </c>
      <c r="U13" s="58">
        <f>AVERAGE(I13:T13)</f>
        <v>1495250</v>
      </c>
      <c r="V13" s="21">
        <f>AVERAGE(I18:T18)</f>
        <v>172.5</v>
      </c>
      <c r="W13" s="21"/>
    </row>
    <row r="14" spans="1:23" x14ac:dyDescent="0.3">
      <c r="B14" s="1" t="s">
        <v>75</v>
      </c>
      <c r="C14" s="87">
        <f>U13/V13</f>
        <v>8668.115942028986</v>
      </c>
      <c r="D14" s="89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58"/>
      <c r="V14" s="21"/>
      <c r="W14" s="21"/>
    </row>
    <row r="15" spans="1:23" x14ac:dyDescent="0.3">
      <c r="B15" s="1" t="s">
        <v>74</v>
      </c>
      <c r="C15" s="88">
        <f>U12/U9</f>
        <v>10467.003982080638</v>
      </c>
      <c r="D15" s="89"/>
      <c r="H15" t="s">
        <v>80</v>
      </c>
      <c r="I15" s="48">
        <v>863998</v>
      </c>
      <c r="J15" s="48">
        <v>1303937</v>
      </c>
      <c r="K15" s="47">
        <v>1500827</v>
      </c>
      <c r="L15" s="48">
        <v>1776890</v>
      </c>
      <c r="M15" s="48">
        <v>1752338</v>
      </c>
      <c r="N15" s="48">
        <v>1733831</v>
      </c>
      <c r="O15" s="48">
        <v>1814082</v>
      </c>
      <c r="P15" s="48">
        <v>1402657</v>
      </c>
      <c r="Q15" s="48">
        <v>623787</v>
      </c>
      <c r="R15" s="48">
        <v>1855608</v>
      </c>
      <c r="S15" s="48">
        <v>1650000</v>
      </c>
      <c r="T15" s="48">
        <v>1855608</v>
      </c>
      <c r="U15" s="58">
        <f>AVERAGE(I15:T15)</f>
        <v>1511130.25</v>
      </c>
    </row>
    <row r="16" spans="1:23" x14ac:dyDescent="0.3">
      <c r="H16" s="76" t="s">
        <v>72</v>
      </c>
      <c r="I16" s="76">
        <v>78</v>
      </c>
      <c r="J16" s="76">
        <v>78</v>
      </c>
      <c r="K16" s="76">
        <v>78</v>
      </c>
      <c r="L16" s="76">
        <v>78</v>
      </c>
      <c r="M16" s="76">
        <v>81</v>
      </c>
      <c r="N16" s="76">
        <v>81</v>
      </c>
      <c r="O16" s="76">
        <v>81</v>
      </c>
      <c r="P16" s="77">
        <v>81</v>
      </c>
      <c r="Q16" s="77">
        <v>81</v>
      </c>
      <c r="R16" s="77">
        <v>81</v>
      </c>
      <c r="S16" s="74">
        <v>81</v>
      </c>
      <c r="T16" s="74">
        <v>81</v>
      </c>
      <c r="U16" s="58"/>
    </row>
    <row r="17" spans="1:22" x14ac:dyDescent="0.3">
      <c r="H17" s="78" t="s">
        <v>81</v>
      </c>
      <c r="I17" s="78">
        <v>96</v>
      </c>
      <c r="J17" s="78">
        <v>91</v>
      </c>
      <c r="K17" s="78">
        <v>91</v>
      </c>
      <c r="L17" s="78">
        <v>96</v>
      </c>
      <c r="M17" s="78">
        <v>94</v>
      </c>
      <c r="N17" s="78">
        <v>91</v>
      </c>
      <c r="O17" s="78">
        <v>91</v>
      </c>
      <c r="P17" s="78">
        <v>91</v>
      </c>
      <c r="Q17" s="78">
        <v>91</v>
      </c>
      <c r="R17" s="78">
        <v>92</v>
      </c>
      <c r="S17" s="75">
        <v>93</v>
      </c>
      <c r="T17" s="75">
        <v>93</v>
      </c>
      <c r="U17" s="58"/>
    </row>
    <row r="18" spans="1:22" x14ac:dyDescent="0.3">
      <c r="A18" s="60">
        <v>3</v>
      </c>
      <c r="B18" s="115" t="s">
        <v>91</v>
      </c>
      <c r="C18" s="115"/>
      <c r="D18" s="115"/>
      <c r="H18" s="78" t="s">
        <v>60</v>
      </c>
      <c r="I18" s="77">
        <f>SUM(I16:I17)</f>
        <v>174</v>
      </c>
      <c r="J18" s="77">
        <f t="shared" ref="J18:T18" si="1">SUM(J16:J17)</f>
        <v>169</v>
      </c>
      <c r="K18" s="77">
        <f t="shared" si="1"/>
        <v>169</v>
      </c>
      <c r="L18" s="77">
        <f t="shared" si="1"/>
        <v>174</v>
      </c>
      <c r="M18" s="77">
        <f t="shared" si="1"/>
        <v>175</v>
      </c>
      <c r="N18" s="77">
        <f t="shared" si="1"/>
        <v>172</v>
      </c>
      <c r="O18" s="77">
        <f t="shared" si="1"/>
        <v>172</v>
      </c>
      <c r="P18" s="77">
        <f t="shared" si="1"/>
        <v>172</v>
      </c>
      <c r="Q18" s="77">
        <f t="shared" si="1"/>
        <v>172</v>
      </c>
      <c r="R18" s="77">
        <f t="shared" si="1"/>
        <v>173</v>
      </c>
      <c r="S18" s="74">
        <f t="shared" si="1"/>
        <v>174</v>
      </c>
      <c r="T18" s="74">
        <f t="shared" si="1"/>
        <v>174</v>
      </c>
    </row>
    <row r="19" spans="1:22" x14ac:dyDescent="0.3">
      <c r="B19" s="3" t="s">
        <v>68</v>
      </c>
      <c r="C19" s="4" t="s">
        <v>69</v>
      </c>
      <c r="D19" s="32" t="s">
        <v>66</v>
      </c>
      <c r="E19" s="38" t="s">
        <v>67</v>
      </c>
      <c r="F19" s="94"/>
      <c r="I19" s="18" t="s">
        <v>40</v>
      </c>
      <c r="J19" s="18" t="s">
        <v>61</v>
      </c>
      <c r="K19" s="18" t="s">
        <v>62</v>
      </c>
      <c r="L19" s="18" t="s">
        <v>49</v>
      </c>
      <c r="M19" s="18" t="s">
        <v>50</v>
      </c>
      <c r="N19" s="18" t="s">
        <v>51</v>
      </c>
      <c r="O19" s="18" t="s">
        <v>52</v>
      </c>
      <c r="P19" s="18" t="s">
        <v>53</v>
      </c>
      <c r="Q19" s="18" t="s">
        <v>54</v>
      </c>
      <c r="R19" s="18" t="s">
        <v>56</v>
      </c>
      <c r="S19" s="18" t="s">
        <v>57</v>
      </c>
      <c r="T19" s="18" t="s">
        <v>58</v>
      </c>
    </row>
    <row r="20" spans="1:22" x14ac:dyDescent="0.3">
      <c r="B20" s="1" t="s">
        <v>1</v>
      </c>
      <c r="C20" s="9">
        <v>103</v>
      </c>
      <c r="D20" s="37"/>
      <c r="E20" s="39"/>
      <c r="F20" s="98"/>
      <c r="H20" s="59" t="s">
        <v>63</v>
      </c>
      <c r="I20" s="1">
        <v>96</v>
      </c>
      <c r="J20" s="1">
        <v>99</v>
      </c>
      <c r="K20" s="1">
        <v>101</v>
      </c>
      <c r="L20" s="1">
        <v>109</v>
      </c>
      <c r="M20" s="1">
        <f>71+23+14+5+3+1</f>
        <v>117</v>
      </c>
      <c r="N20" s="1">
        <v>119</v>
      </c>
      <c r="O20" s="1">
        <v>107</v>
      </c>
      <c r="P20" s="1">
        <f>65+6+14+4+5</f>
        <v>94</v>
      </c>
      <c r="Q20" s="1">
        <v>95</v>
      </c>
      <c r="R20" s="1">
        <v>99</v>
      </c>
      <c r="S20" s="1">
        <v>97</v>
      </c>
      <c r="T20" s="1">
        <v>98</v>
      </c>
    </row>
    <row r="21" spans="1:22" x14ac:dyDescent="0.3">
      <c r="B21" s="1" t="s">
        <v>22</v>
      </c>
      <c r="C21" s="9">
        <v>108</v>
      </c>
      <c r="D21" s="37"/>
      <c r="E21" s="64"/>
      <c r="F21" s="98"/>
      <c r="H21" s="65" t="s">
        <v>64</v>
      </c>
      <c r="I21" s="1">
        <v>96</v>
      </c>
      <c r="J21" s="1">
        <v>91</v>
      </c>
      <c r="K21" s="1">
        <v>91</v>
      </c>
      <c r="L21" s="1">
        <v>96</v>
      </c>
      <c r="M21" s="1">
        <v>94</v>
      </c>
      <c r="N21" s="1">
        <v>91</v>
      </c>
      <c r="O21" s="1">
        <v>91</v>
      </c>
      <c r="P21" s="1">
        <v>91</v>
      </c>
      <c r="Q21" s="1">
        <v>91</v>
      </c>
      <c r="R21" s="1">
        <v>93</v>
      </c>
      <c r="S21" s="1">
        <v>93</v>
      </c>
      <c r="T21" s="1">
        <v>93</v>
      </c>
      <c r="U21" s="39"/>
    </row>
    <row r="22" spans="1:22" x14ac:dyDescent="0.3">
      <c r="B22" s="1" t="s">
        <v>89</v>
      </c>
      <c r="C22" s="10">
        <f>AVERAGE(I20:T20)</f>
        <v>102.58333333333333</v>
      </c>
      <c r="D22" s="37"/>
      <c r="E22" s="39"/>
      <c r="F22" s="98"/>
      <c r="I22" s="45"/>
      <c r="J22" s="45"/>
      <c r="K22" s="45"/>
    </row>
    <row r="23" spans="1:22" ht="18" x14ac:dyDescent="0.35">
      <c r="B23" s="114"/>
      <c r="C23" s="114"/>
      <c r="D23" s="114"/>
    </row>
    <row r="24" spans="1:22" x14ac:dyDescent="0.3">
      <c r="A24" s="70">
        <v>4</v>
      </c>
      <c r="B24" s="116" t="s">
        <v>21</v>
      </c>
      <c r="C24" s="116"/>
      <c r="D24" s="116"/>
      <c r="E24" s="12"/>
      <c r="F24" s="16"/>
    </row>
    <row r="25" spans="1:22" x14ac:dyDescent="0.3">
      <c r="B25" s="5" t="s">
        <v>0</v>
      </c>
      <c r="C25" s="5" t="s">
        <v>1</v>
      </c>
      <c r="D25" s="5" t="s">
        <v>22</v>
      </c>
      <c r="E25" s="5" t="s">
        <v>87</v>
      </c>
      <c r="F25" s="5" t="s">
        <v>88</v>
      </c>
      <c r="G25" s="94"/>
      <c r="I25" s="43" t="s">
        <v>40</v>
      </c>
      <c r="J25" s="43" t="s">
        <v>25</v>
      </c>
      <c r="K25" s="43" t="s">
        <v>26</v>
      </c>
      <c r="L25" s="43" t="s">
        <v>49</v>
      </c>
      <c r="M25" s="43" t="s">
        <v>50</v>
      </c>
      <c r="N25" s="43" t="s">
        <v>51</v>
      </c>
      <c r="O25" s="43" t="s">
        <v>52</v>
      </c>
      <c r="P25" s="43" t="s">
        <v>53</v>
      </c>
      <c r="Q25" s="43" t="s">
        <v>54</v>
      </c>
      <c r="R25" s="43" t="s">
        <v>56</v>
      </c>
      <c r="S25" s="43" t="s">
        <v>57</v>
      </c>
      <c r="T25" s="43" t="s">
        <v>58</v>
      </c>
    </row>
    <row r="26" spans="1:22" x14ac:dyDescent="0.3">
      <c r="B26" s="1" t="s">
        <v>86</v>
      </c>
      <c r="C26" s="37">
        <v>4.38</v>
      </c>
      <c r="D26" s="33">
        <f>3040850/1000000</f>
        <v>3.0408499999999998</v>
      </c>
      <c r="E26" s="102">
        <f>SUM(I26:T26)/1000000</f>
        <v>28.307934460000002</v>
      </c>
      <c r="F26" s="69">
        <f>SUM(I27:T27)/1000000</f>
        <v>31.346179859999999</v>
      </c>
      <c r="G26" s="94"/>
      <c r="H26" s="65" t="s">
        <v>64</v>
      </c>
      <c r="I26" s="62">
        <v>2325779.8716666698</v>
      </c>
      <c r="J26" s="62">
        <v>2325779.8716666698</v>
      </c>
      <c r="K26" s="62">
        <v>2325779.8716666666</v>
      </c>
      <c r="L26" s="62">
        <v>2325779.8716666666</v>
      </c>
      <c r="M26" s="62">
        <v>2375601.8716666666</v>
      </c>
      <c r="N26" s="62">
        <v>2375601.8716666666</v>
      </c>
      <c r="O26" s="62">
        <v>2375601.8716666666</v>
      </c>
      <c r="P26" s="62">
        <v>2375601.8716666666</v>
      </c>
      <c r="Q26" s="62">
        <v>2375601.8716666666</v>
      </c>
      <c r="R26" s="62">
        <v>2375601.8716666666</v>
      </c>
      <c r="S26" s="62">
        <v>2375601.8716666666</v>
      </c>
      <c r="T26" s="62">
        <v>2375601.8716666666</v>
      </c>
    </row>
    <row r="27" spans="1:22" ht="16.8" x14ac:dyDescent="0.4">
      <c r="D27" s="91">
        <f>(D26-C26)/D26</f>
        <v>-0.44038673397240907</v>
      </c>
      <c r="F27" s="68">
        <f>(F26-E26)/E26</f>
        <v>0.10732840307699361</v>
      </c>
      <c r="G27" s="94"/>
      <c r="H27" t="s">
        <v>63</v>
      </c>
      <c r="I27" s="55">
        <v>1716917.17</v>
      </c>
      <c r="J27" s="80">
        <v>2405275.4300000002</v>
      </c>
      <c r="K27" s="62">
        <v>2698073.57</v>
      </c>
      <c r="L27" s="63">
        <v>2748275</v>
      </c>
      <c r="M27" s="63">
        <v>2684678</v>
      </c>
      <c r="N27" s="63">
        <v>2608916.61</v>
      </c>
      <c r="O27" s="63">
        <v>2767405</v>
      </c>
      <c r="P27" s="63">
        <v>2375925</v>
      </c>
      <c r="Q27" s="63">
        <v>2548536</v>
      </c>
      <c r="R27" s="63">
        <v>3124037</v>
      </c>
      <c r="S27" s="63">
        <v>2627291.08</v>
      </c>
      <c r="T27" s="63">
        <v>3040850</v>
      </c>
    </row>
    <row r="29" spans="1:22" x14ac:dyDescent="0.3">
      <c r="E29" s="11">
        <v>2.63</v>
      </c>
      <c r="I29" s="18"/>
      <c r="J29" s="18"/>
      <c r="V29" s="45"/>
    </row>
    <row r="30" spans="1:22" x14ac:dyDescent="0.3">
      <c r="A30" s="60">
        <v>5</v>
      </c>
      <c r="B30" s="25" t="s">
        <v>65</v>
      </c>
      <c r="C30" s="25"/>
      <c r="D30" s="92"/>
      <c r="E30" s="18"/>
      <c r="F30" s="18"/>
      <c r="G30" s="18"/>
      <c r="I30" s="18" t="s">
        <v>40</v>
      </c>
      <c r="J30" s="18" t="s">
        <v>61</v>
      </c>
      <c r="K30" s="18" t="s">
        <v>62</v>
      </c>
      <c r="L30" s="18" t="s">
        <v>49</v>
      </c>
      <c r="M30" s="18" t="s">
        <v>50</v>
      </c>
      <c r="N30" s="18" t="s">
        <v>51</v>
      </c>
      <c r="O30" s="18" t="s">
        <v>52</v>
      </c>
      <c r="P30" s="18" t="s">
        <v>53</v>
      </c>
      <c r="Q30" s="18" t="s">
        <v>54</v>
      </c>
      <c r="R30" s="18" t="s">
        <v>56</v>
      </c>
      <c r="S30" s="18" t="s">
        <v>57</v>
      </c>
      <c r="T30" s="18" t="s">
        <v>58</v>
      </c>
    </row>
    <row r="31" spans="1:22" x14ac:dyDescent="0.3">
      <c r="B31" s="1" t="s">
        <v>1</v>
      </c>
      <c r="C31" s="9">
        <v>183</v>
      </c>
      <c r="D31" s="93"/>
      <c r="E31" s="18"/>
      <c r="F31" s="13"/>
      <c r="G31" s="13"/>
      <c r="H31" s="59" t="s">
        <v>63</v>
      </c>
      <c r="I31" s="1">
        <v>149</v>
      </c>
      <c r="J31" s="1">
        <v>152</v>
      </c>
      <c r="K31" s="1">
        <v>152</v>
      </c>
      <c r="L31" s="1">
        <v>149</v>
      </c>
      <c r="M31" s="1">
        <v>150</v>
      </c>
      <c r="N31" s="1">
        <v>154</v>
      </c>
      <c r="O31" s="1">
        <v>158</v>
      </c>
      <c r="P31" s="1">
        <v>161</v>
      </c>
      <c r="Q31" s="1">
        <v>161</v>
      </c>
      <c r="R31" s="1">
        <v>164</v>
      </c>
      <c r="S31" s="1">
        <v>163</v>
      </c>
      <c r="T31" s="1">
        <v>162</v>
      </c>
    </row>
    <row r="32" spans="1:22" x14ac:dyDescent="0.3">
      <c r="B32" s="1" t="s">
        <v>22</v>
      </c>
      <c r="C32" s="9">
        <v>125</v>
      </c>
      <c r="D32" s="94"/>
      <c r="E32" s="108"/>
      <c r="H32" s="65" t="s">
        <v>64</v>
      </c>
      <c r="I32" s="1">
        <v>162</v>
      </c>
      <c r="J32" s="1">
        <v>162</v>
      </c>
      <c r="K32" s="1">
        <v>162</v>
      </c>
      <c r="L32" s="1">
        <v>162</v>
      </c>
      <c r="M32" s="1">
        <v>165</v>
      </c>
      <c r="N32" s="1">
        <v>165</v>
      </c>
      <c r="O32" s="1">
        <v>165</v>
      </c>
      <c r="P32" s="1">
        <v>165</v>
      </c>
      <c r="Q32" s="1">
        <v>166</v>
      </c>
      <c r="R32" s="1">
        <v>166</v>
      </c>
      <c r="S32" s="1">
        <v>165</v>
      </c>
      <c r="T32" s="1">
        <v>165</v>
      </c>
    </row>
    <row r="33" spans="1:12" x14ac:dyDescent="0.3">
      <c r="B33" s="1" t="s">
        <v>89</v>
      </c>
      <c r="C33" s="10">
        <f>AVERAGE(I31:T31)</f>
        <v>156.25</v>
      </c>
      <c r="D33" s="94"/>
      <c r="E33" s="18"/>
    </row>
    <row r="34" spans="1:12" ht="18" x14ac:dyDescent="0.3">
      <c r="B34" s="117"/>
      <c r="C34" s="117"/>
      <c r="D34" s="117"/>
    </row>
    <row r="35" spans="1:12" x14ac:dyDescent="0.3">
      <c r="E35" s="11"/>
    </row>
    <row r="36" spans="1:12" ht="18" x14ac:dyDescent="0.35">
      <c r="A36" s="60">
        <v>6</v>
      </c>
      <c r="B36" s="30" t="s">
        <v>12</v>
      </c>
      <c r="C36" s="29"/>
      <c r="D36" s="29"/>
      <c r="E36" s="11"/>
    </row>
    <row r="37" spans="1:12" x14ac:dyDescent="0.3">
      <c r="B37" s="6"/>
      <c r="C37" s="7" t="s">
        <v>3</v>
      </c>
      <c r="D37" s="7" t="s">
        <v>4</v>
      </c>
      <c r="E37" s="7" t="s">
        <v>5</v>
      </c>
      <c r="F37" s="17" t="s">
        <v>47</v>
      </c>
      <c r="G37" s="7" t="s">
        <v>6</v>
      </c>
      <c r="H37" s="17" t="s">
        <v>2</v>
      </c>
      <c r="I37" s="95"/>
      <c r="J37" s="43" t="s">
        <v>25</v>
      </c>
      <c r="K37" s="43" t="s">
        <v>26</v>
      </c>
      <c r="L37" s="43" t="s">
        <v>49</v>
      </c>
    </row>
    <row r="38" spans="1:12" x14ac:dyDescent="0.3">
      <c r="B38" s="1" t="s">
        <v>93</v>
      </c>
      <c r="C38" s="9">
        <v>0</v>
      </c>
      <c r="D38" s="9">
        <v>8</v>
      </c>
      <c r="E38" s="9">
        <v>3</v>
      </c>
      <c r="F38" s="54">
        <f>SUM(C38:E38)</f>
        <v>11</v>
      </c>
      <c r="G38" s="33">
        <f>F38/H38*100</f>
        <v>8.7999999999999989</v>
      </c>
      <c r="H38" s="9">
        <f>C32</f>
        <v>125</v>
      </c>
      <c r="I38" s="96"/>
    </row>
    <row r="39" spans="1:12" x14ac:dyDescent="0.3">
      <c r="B39" s="1" t="s">
        <v>90</v>
      </c>
      <c r="C39" s="9">
        <v>8</v>
      </c>
      <c r="D39" s="9">
        <v>21</v>
      </c>
      <c r="E39" s="9">
        <f>2+1+1+2+1+1+2</f>
        <v>10</v>
      </c>
      <c r="F39" s="54">
        <f>SUM(C39:E39)</f>
        <v>39</v>
      </c>
      <c r="G39" s="101">
        <f>F39/H39*100</f>
        <v>25</v>
      </c>
      <c r="H39" s="10">
        <v>156</v>
      </c>
    </row>
    <row r="40" spans="1:12" x14ac:dyDescent="0.3">
      <c r="E40" s="11"/>
      <c r="G40" s="35"/>
      <c r="H40" s="11"/>
    </row>
    <row r="41" spans="1:12" x14ac:dyDescent="0.3">
      <c r="A41" s="67">
        <v>7</v>
      </c>
      <c r="B41" s="1" t="s">
        <v>70</v>
      </c>
      <c r="C41" s="9">
        <v>15</v>
      </c>
      <c r="D41" s="66">
        <f>C42/C41</f>
        <v>0.46666666666666667</v>
      </c>
      <c r="E41" s="11"/>
      <c r="G41" s="35"/>
      <c r="H41" s="11"/>
      <c r="I41" s="53"/>
      <c r="J41" s="53"/>
      <c r="K41" s="53"/>
    </row>
    <row r="42" spans="1:12" x14ac:dyDescent="0.3">
      <c r="B42" s="1" t="s">
        <v>71</v>
      </c>
      <c r="C42" s="9">
        <v>7</v>
      </c>
      <c r="E42" s="11"/>
      <c r="G42" s="35"/>
      <c r="H42" s="11"/>
    </row>
    <row r="43" spans="1:12" x14ac:dyDescent="0.3">
      <c r="E43" s="11"/>
      <c r="G43" s="35"/>
      <c r="H43" s="11"/>
    </row>
    <row r="44" spans="1:12" x14ac:dyDescent="0.3">
      <c r="E44" s="11"/>
      <c r="G44" s="35"/>
      <c r="H44" s="11"/>
    </row>
    <row r="45" spans="1:12" x14ac:dyDescent="0.3">
      <c r="A45" s="67">
        <v>8</v>
      </c>
      <c r="B45" s="25" t="s">
        <v>23</v>
      </c>
      <c r="E45" s="11"/>
      <c r="G45" s="35"/>
      <c r="H45" s="11"/>
    </row>
    <row r="46" spans="1:12" x14ac:dyDescent="0.3">
      <c r="B46" s="14" t="s">
        <v>73</v>
      </c>
      <c r="C46" s="10">
        <v>45</v>
      </c>
      <c r="D46" s="89"/>
      <c r="E46" s="11"/>
      <c r="G46" s="35"/>
      <c r="H46" s="11"/>
    </row>
    <row r="47" spans="1:12" x14ac:dyDescent="0.3">
      <c r="B47" s="14" t="s">
        <v>85</v>
      </c>
      <c r="C47" s="10">
        <f>163/166*100</f>
        <v>98.192771084337352</v>
      </c>
      <c r="D47" s="89"/>
      <c r="E47" s="11"/>
    </row>
    <row r="48" spans="1:12" x14ac:dyDescent="0.3">
      <c r="B48" s="14" t="s">
        <v>48</v>
      </c>
      <c r="C48" s="10">
        <v>0</v>
      </c>
      <c r="D48" s="89"/>
      <c r="E48" s="11"/>
    </row>
    <row r="49" spans="1:8" x14ac:dyDescent="0.3">
      <c r="E49" s="11"/>
    </row>
    <row r="50" spans="1:8" x14ac:dyDescent="0.3">
      <c r="A50" s="70">
        <v>9</v>
      </c>
      <c r="B50" s="25" t="s">
        <v>82</v>
      </c>
      <c r="E50" s="11"/>
    </row>
    <row r="51" spans="1:8" x14ac:dyDescent="0.3">
      <c r="B51" s="1" t="s">
        <v>83</v>
      </c>
      <c r="C51" s="9">
        <v>75</v>
      </c>
      <c r="D51" s="83"/>
      <c r="E51" s="11"/>
    </row>
    <row r="52" spans="1:8" x14ac:dyDescent="0.3">
      <c r="B52" s="1" t="s">
        <v>84</v>
      </c>
      <c r="C52" s="9">
        <v>23</v>
      </c>
      <c r="D52" s="83"/>
      <c r="E52" s="11"/>
    </row>
    <row r="53" spans="1:8" x14ac:dyDescent="0.3">
      <c r="C53" s="56">
        <f>C52/C51</f>
        <v>0.30666666666666664</v>
      </c>
      <c r="D53" s="83"/>
      <c r="E53" s="11"/>
    </row>
    <row r="54" spans="1:8" x14ac:dyDescent="0.3">
      <c r="E54" s="11"/>
    </row>
    <row r="56" spans="1:8" x14ac:dyDescent="0.3">
      <c r="A56" s="70">
        <v>10</v>
      </c>
      <c r="B56" s="25" t="s">
        <v>45</v>
      </c>
      <c r="C56" s="25"/>
      <c r="D56" s="28"/>
    </row>
    <row r="57" spans="1:8" x14ac:dyDescent="0.3">
      <c r="B57" s="3" t="s">
        <v>0</v>
      </c>
      <c r="C57" s="4" t="s">
        <v>22</v>
      </c>
      <c r="D57" s="4" t="s">
        <v>1</v>
      </c>
      <c r="E57" s="24"/>
      <c r="F57" s="13"/>
    </row>
    <row r="58" spans="1:8" x14ac:dyDescent="0.3">
      <c r="B58" s="2" t="s">
        <v>24</v>
      </c>
      <c r="C58" s="61">
        <v>0.01</v>
      </c>
      <c r="D58" s="61">
        <v>0</v>
      </c>
      <c r="E58" s="90"/>
      <c r="F58" s="13"/>
    </row>
    <row r="59" spans="1:8" x14ac:dyDescent="0.3">
      <c r="B59" s="2" t="s">
        <v>25</v>
      </c>
      <c r="C59" s="61">
        <v>0.03</v>
      </c>
      <c r="D59" s="61">
        <v>0</v>
      </c>
      <c r="E59" s="90"/>
      <c r="F59" s="13"/>
      <c r="H59" s="82"/>
    </row>
    <row r="60" spans="1:8" x14ac:dyDescent="0.3">
      <c r="B60" s="2" t="s">
        <v>26</v>
      </c>
      <c r="C60" s="61">
        <v>0.05</v>
      </c>
      <c r="D60" s="61">
        <v>0</v>
      </c>
      <c r="E60" s="90"/>
      <c r="F60" s="13"/>
      <c r="H60" s="81"/>
    </row>
    <row r="61" spans="1:8" x14ac:dyDescent="0.3">
      <c r="B61" s="2" t="s">
        <v>27</v>
      </c>
      <c r="C61" s="61">
        <v>0.05</v>
      </c>
      <c r="D61" s="61">
        <v>0</v>
      </c>
      <c r="E61" s="90"/>
      <c r="F61" s="13"/>
      <c r="H61" s="81"/>
    </row>
    <row r="62" spans="1:8" x14ac:dyDescent="0.3">
      <c r="B62" s="2" t="s">
        <v>28</v>
      </c>
      <c r="C62" s="61">
        <v>0.04</v>
      </c>
      <c r="D62" s="61">
        <v>0</v>
      </c>
      <c r="E62" s="90"/>
      <c r="F62" s="13"/>
    </row>
    <row r="63" spans="1:8" x14ac:dyDescent="0.3">
      <c r="B63" s="2" t="s">
        <v>29</v>
      </c>
      <c r="C63" s="61">
        <v>0.06</v>
      </c>
      <c r="D63" s="61">
        <v>0</v>
      </c>
      <c r="E63" s="90"/>
      <c r="F63" s="13"/>
      <c r="H63" s="50"/>
    </row>
    <row r="64" spans="1:8" x14ac:dyDescent="0.3">
      <c r="B64" s="15" t="s">
        <v>30</v>
      </c>
      <c r="C64" s="61">
        <v>0.08</v>
      </c>
      <c r="D64" s="61">
        <v>0</v>
      </c>
      <c r="E64" s="90"/>
      <c r="F64" s="13"/>
      <c r="H64" s="81"/>
    </row>
    <row r="65" spans="1:11" x14ac:dyDescent="0.3">
      <c r="B65" s="15" t="s">
        <v>31</v>
      </c>
      <c r="C65" s="61">
        <v>0.03</v>
      </c>
      <c r="D65" s="61">
        <v>0</v>
      </c>
      <c r="E65" s="90"/>
      <c r="F65" s="13"/>
    </row>
    <row r="66" spans="1:11" x14ac:dyDescent="0.3">
      <c r="B66" s="2" t="s">
        <v>32</v>
      </c>
      <c r="C66" s="61">
        <v>0.03</v>
      </c>
      <c r="D66" s="61">
        <v>0</v>
      </c>
      <c r="E66" s="90"/>
      <c r="F66" s="13"/>
      <c r="H66" s="81" t="s">
        <v>94</v>
      </c>
    </row>
    <row r="67" spans="1:11" x14ac:dyDescent="0.3">
      <c r="B67" s="15" t="s">
        <v>33</v>
      </c>
      <c r="C67" s="61">
        <v>0</v>
      </c>
      <c r="D67" s="61">
        <v>0</v>
      </c>
      <c r="E67" s="90"/>
      <c r="F67" s="13"/>
      <c r="H67" s="81"/>
      <c r="I67" s="81">
        <f>17/1520</f>
        <v>1.118421052631579E-2</v>
      </c>
    </row>
    <row r="68" spans="1:11" x14ac:dyDescent="0.3">
      <c r="B68" s="15" t="s">
        <v>34</v>
      </c>
      <c r="C68" s="61">
        <v>0</v>
      </c>
      <c r="D68" s="61">
        <v>0</v>
      </c>
      <c r="E68" s="79"/>
      <c r="F68" s="13"/>
      <c r="I68" s="81">
        <f>40/1680</f>
        <v>2.3809523809523808E-2</v>
      </c>
    </row>
    <row r="69" spans="1:11" x14ac:dyDescent="0.3">
      <c r="B69" s="2" t="s">
        <v>35</v>
      </c>
      <c r="C69" s="61">
        <v>0</v>
      </c>
      <c r="D69" s="61">
        <v>0</v>
      </c>
      <c r="E69" s="79"/>
      <c r="F69" s="13"/>
      <c r="H69" s="50"/>
      <c r="I69" s="50">
        <f>SUM(I67:I68)</f>
        <v>3.4993734335839598E-2</v>
      </c>
    </row>
    <row r="70" spans="1:11" x14ac:dyDescent="0.3">
      <c r="A70" s="13"/>
      <c r="B70" s="112" t="s">
        <v>7</v>
      </c>
      <c r="C70" s="112"/>
      <c r="D70" s="13"/>
      <c r="E70" s="24"/>
      <c r="F70" s="112" t="s">
        <v>7</v>
      </c>
      <c r="G70" s="112"/>
      <c r="H70" s="81"/>
    </row>
    <row r="71" spans="1:11" x14ac:dyDescent="0.3">
      <c r="A71" s="13"/>
      <c r="B71" s="24"/>
      <c r="C71" s="13">
        <v>0</v>
      </c>
      <c r="D71" s="13"/>
      <c r="E71" s="24"/>
      <c r="F71" s="24"/>
      <c r="G71" s="13">
        <v>0</v>
      </c>
    </row>
    <row r="72" spans="1:11" x14ac:dyDescent="0.3">
      <c r="A72" s="13"/>
      <c r="B72" s="24"/>
      <c r="C72" s="13">
        <v>5</v>
      </c>
      <c r="D72" s="13"/>
      <c r="E72" s="24"/>
      <c r="F72" s="24"/>
      <c r="G72" s="13">
        <v>5</v>
      </c>
      <c r="I72" s="81"/>
    </row>
    <row r="73" spans="1:11" x14ac:dyDescent="0.3">
      <c r="A73" s="13"/>
      <c r="B73" s="24"/>
      <c r="C73" s="13">
        <v>8</v>
      </c>
      <c r="D73" s="13"/>
      <c r="E73" s="24"/>
      <c r="F73" s="24"/>
      <c r="G73" s="13">
        <v>5</v>
      </c>
    </row>
    <row r="74" spans="1:11" x14ac:dyDescent="0.3">
      <c r="A74" s="13"/>
      <c r="B74" s="24"/>
      <c r="C74" s="13">
        <v>87</v>
      </c>
      <c r="D74" s="13"/>
      <c r="E74" s="24"/>
      <c r="F74" s="24"/>
      <c r="G74" s="13">
        <v>90</v>
      </c>
    </row>
    <row r="75" spans="1:11" x14ac:dyDescent="0.3">
      <c r="A75" s="13"/>
      <c r="B75" s="24"/>
      <c r="C75" s="13">
        <v>100</v>
      </c>
      <c r="D75" s="13"/>
      <c r="E75" s="24"/>
      <c r="F75" s="24"/>
      <c r="G75" s="13">
        <v>100</v>
      </c>
    </row>
    <row r="76" spans="1:11" x14ac:dyDescent="0.3">
      <c r="A76" s="13"/>
      <c r="B76" s="113" t="s">
        <v>11</v>
      </c>
      <c r="C76" s="113"/>
      <c r="D76" s="13"/>
      <c r="E76" s="24"/>
      <c r="F76" s="113" t="s">
        <v>11</v>
      </c>
      <c r="G76" s="113"/>
    </row>
    <row r="77" spans="1:11" x14ac:dyDescent="0.3">
      <c r="A77" s="13"/>
      <c r="B77" s="24" t="s">
        <v>10</v>
      </c>
      <c r="C77" s="36">
        <f>D2</f>
        <v>1.4626252979409309</v>
      </c>
      <c r="D77" s="13" t="s">
        <v>15</v>
      </c>
      <c r="E77" s="24"/>
      <c r="F77" s="24" t="s">
        <v>10</v>
      </c>
      <c r="G77" s="36">
        <f>G38</f>
        <v>8.7999999999999989</v>
      </c>
    </row>
    <row r="78" spans="1:11" x14ac:dyDescent="0.3">
      <c r="A78" s="13"/>
      <c r="B78" s="24" t="s">
        <v>8</v>
      </c>
      <c r="C78" s="13">
        <v>2</v>
      </c>
      <c r="D78" s="13"/>
      <c r="E78" s="24"/>
      <c r="F78" s="24" t="s">
        <v>8</v>
      </c>
      <c r="G78" s="13">
        <v>2</v>
      </c>
    </row>
    <row r="79" spans="1:11" x14ac:dyDescent="0.3">
      <c r="A79" s="19">
        <v>11</v>
      </c>
      <c r="B79" s="25" t="s">
        <v>39</v>
      </c>
      <c r="C79" s="13">
        <v>150</v>
      </c>
      <c r="D79" s="13"/>
      <c r="E79" s="24"/>
      <c r="F79" s="24" t="s">
        <v>9</v>
      </c>
      <c r="G79" s="13">
        <v>150</v>
      </c>
      <c r="I79" s="43" t="s">
        <v>40</v>
      </c>
      <c r="J79" s="43" t="s">
        <v>25</v>
      </c>
      <c r="K79" s="43" t="s">
        <v>26</v>
      </c>
    </row>
    <row r="80" spans="1:11" x14ac:dyDescent="0.3">
      <c r="B80" s="1" t="s">
        <v>36</v>
      </c>
      <c r="C80" s="9">
        <v>12</v>
      </c>
      <c r="E80" s="8"/>
    </row>
    <row r="81" spans="2:4" x14ac:dyDescent="0.3">
      <c r="B81" s="1" t="s">
        <v>37</v>
      </c>
      <c r="C81" s="9">
        <v>185</v>
      </c>
    </row>
    <row r="82" spans="2:4" x14ac:dyDescent="0.3">
      <c r="B82" s="1" t="s">
        <v>38</v>
      </c>
      <c r="C82" s="9">
        <v>124</v>
      </c>
    </row>
    <row r="88" spans="2:4" x14ac:dyDescent="0.3">
      <c r="B88" s="40" t="s">
        <v>41</v>
      </c>
    </row>
    <row r="89" spans="2:4" x14ac:dyDescent="0.3">
      <c r="D89" s="28"/>
    </row>
    <row r="90" spans="2:4" x14ac:dyDescent="0.3">
      <c r="B90" t="s">
        <v>42</v>
      </c>
    </row>
    <row r="91" spans="2:4" x14ac:dyDescent="0.3">
      <c r="B91" t="s">
        <v>43</v>
      </c>
    </row>
    <row r="92" spans="2:4" x14ac:dyDescent="0.3">
      <c r="B92" t="s">
        <v>44</v>
      </c>
    </row>
    <row r="124" spans="2:4" ht="18" x14ac:dyDescent="0.35">
      <c r="B124" s="111"/>
      <c r="C124" s="111"/>
      <c r="D124" s="111"/>
    </row>
  </sheetData>
  <sortState xmlns:xlrd2="http://schemas.microsoft.com/office/spreadsheetml/2017/richdata2" ref="C2:I5001">
    <sortCondition ref="C2:C5001"/>
  </sortState>
  <mergeCells count="9">
    <mergeCell ref="B124:D124"/>
    <mergeCell ref="F70:G70"/>
    <mergeCell ref="F76:G76"/>
    <mergeCell ref="B23:D23"/>
    <mergeCell ref="B18:D18"/>
    <mergeCell ref="B70:C70"/>
    <mergeCell ref="B76:C76"/>
    <mergeCell ref="B24:D24"/>
    <mergeCell ref="B34:D3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B8F8-1824-4F65-849F-0E6B65AB6EC8}">
  <dimension ref="A1:M42"/>
  <sheetViews>
    <sheetView tabSelected="1" workbookViewId="0"/>
  </sheetViews>
  <sheetFormatPr defaultRowHeight="14.4" x14ac:dyDescent="0.3"/>
  <cols>
    <col min="1" max="1" width="9.77734375" bestFit="1" customWidth="1"/>
    <col min="2" max="3" width="9.77734375" customWidth="1"/>
    <col min="4" max="4" width="11.33203125" bestFit="1" customWidth="1"/>
    <col min="5" max="5" width="11.33203125" customWidth="1"/>
    <col min="6" max="6" width="12.44140625" bestFit="1" customWidth="1"/>
    <col min="7" max="7" width="13.5546875" style="46" bestFit="1" customWidth="1"/>
    <col min="8" max="8" width="14.5546875" style="46" bestFit="1" customWidth="1"/>
    <col min="9" max="9" width="18.21875" style="46" bestFit="1" customWidth="1"/>
    <col min="10" max="10" width="18.88671875" style="46" bestFit="1" customWidth="1"/>
    <col min="11" max="11" width="21.44140625" style="46" bestFit="1" customWidth="1"/>
    <col min="12" max="12" width="27" style="81" bestFit="1" customWidth="1"/>
    <col min="13" max="13" width="16.109375" bestFit="1" customWidth="1"/>
  </cols>
  <sheetData>
    <row r="1" spans="1:13" s="103" customFormat="1" x14ac:dyDescent="0.3">
      <c r="A1" s="104" t="s">
        <v>95</v>
      </c>
      <c r="B1" s="104" t="s">
        <v>166</v>
      </c>
      <c r="C1" s="104" t="s">
        <v>167</v>
      </c>
      <c r="D1" s="104" t="s">
        <v>96</v>
      </c>
      <c r="E1" s="104" t="s">
        <v>164</v>
      </c>
      <c r="F1" s="104" t="s">
        <v>97</v>
      </c>
      <c r="G1" s="105" t="s">
        <v>98</v>
      </c>
      <c r="H1" s="105" t="s">
        <v>101</v>
      </c>
      <c r="I1" s="105" t="s">
        <v>102</v>
      </c>
      <c r="J1" s="105" t="s">
        <v>103</v>
      </c>
      <c r="K1" s="105" t="s">
        <v>104</v>
      </c>
      <c r="L1" s="106" t="s">
        <v>107</v>
      </c>
    </row>
    <row r="2" spans="1:13" x14ac:dyDescent="0.3">
      <c r="A2" t="s">
        <v>40</v>
      </c>
      <c r="B2">
        <v>2025</v>
      </c>
      <c r="C2" s="109">
        <v>45748</v>
      </c>
      <c r="D2" t="s">
        <v>94</v>
      </c>
      <c r="E2" t="s">
        <v>165</v>
      </c>
      <c r="F2">
        <v>167</v>
      </c>
      <c r="G2" s="46">
        <v>7366773256</v>
      </c>
      <c r="H2" s="46">
        <v>125826505</v>
      </c>
      <c r="I2" s="46">
        <v>1716917</v>
      </c>
      <c r="J2" s="46">
        <v>2325780</v>
      </c>
      <c r="K2" s="46">
        <v>863998</v>
      </c>
      <c r="L2" s="81">
        <f>IFERROR($H2/$G2,0)</f>
        <v>1.7080273903844992E-2</v>
      </c>
      <c r="M2" s="81"/>
    </row>
    <row r="3" spans="1:13" x14ac:dyDescent="0.3">
      <c r="A3" t="s">
        <v>61</v>
      </c>
      <c r="B3">
        <v>2025</v>
      </c>
      <c r="C3" s="109">
        <v>45778</v>
      </c>
      <c r="D3" t="s">
        <v>94</v>
      </c>
      <c r="E3" t="s">
        <v>165</v>
      </c>
      <c r="F3">
        <v>170</v>
      </c>
      <c r="G3" s="46">
        <v>222725559</v>
      </c>
      <c r="H3" s="46">
        <v>26947436</v>
      </c>
      <c r="I3" s="46">
        <v>2405275</v>
      </c>
      <c r="J3" s="46">
        <v>2325780</v>
      </c>
      <c r="K3" s="46">
        <v>1303937</v>
      </c>
      <c r="L3" s="81">
        <f t="shared" ref="L3:L37" si="0">IFERROR($H3/$G3,0)</f>
        <v>0.1209894190904242</v>
      </c>
      <c r="M3" s="81"/>
    </row>
    <row r="4" spans="1:13" x14ac:dyDescent="0.3">
      <c r="A4" t="s">
        <v>62</v>
      </c>
      <c r="B4">
        <v>2025</v>
      </c>
      <c r="C4" s="109">
        <v>45809</v>
      </c>
      <c r="D4" t="s">
        <v>94</v>
      </c>
      <c r="E4" t="s">
        <v>165</v>
      </c>
      <c r="F4">
        <v>173</v>
      </c>
      <c r="G4" s="46">
        <v>813895469</v>
      </c>
      <c r="H4" s="46">
        <v>51989973</v>
      </c>
      <c r="I4" s="46">
        <v>2698074</v>
      </c>
      <c r="J4" s="46">
        <v>2325780</v>
      </c>
      <c r="K4" s="46">
        <v>1500827</v>
      </c>
      <c r="L4" s="81">
        <f t="shared" si="0"/>
        <v>6.3877948680409719E-2</v>
      </c>
      <c r="M4" s="81"/>
    </row>
    <row r="5" spans="1:13" x14ac:dyDescent="0.3">
      <c r="A5" t="s">
        <v>49</v>
      </c>
      <c r="B5">
        <v>2025</v>
      </c>
      <c r="C5" s="109">
        <v>45839</v>
      </c>
      <c r="D5" t="s">
        <v>94</v>
      </c>
      <c r="E5" t="s">
        <v>165</v>
      </c>
      <c r="F5">
        <v>180</v>
      </c>
      <c r="G5" s="46">
        <v>8977111823</v>
      </c>
      <c r="H5" s="46">
        <v>18914200</v>
      </c>
      <c r="I5" s="46">
        <v>2748275</v>
      </c>
      <c r="J5" s="46">
        <v>2325780</v>
      </c>
      <c r="K5" s="46">
        <v>1776890</v>
      </c>
      <c r="L5" s="81">
        <f t="shared" si="0"/>
        <v>2.1069359915446826E-3</v>
      </c>
      <c r="M5" s="81"/>
    </row>
    <row r="6" spans="1:13" x14ac:dyDescent="0.3">
      <c r="A6" t="s">
        <v>50</v>
      </c>
      <c r="B6">
        <v>2025</v>
      </c>
      <c r="C6" s="109">
        <v>45870</v>
      </c>
      <c r="D6" t="s">
        <v>94</v>
      </c>
      <c r="E6" t="s">
        <v>165</v>
      </c>
      <c r="F6">
        <v>190</v>
      </c>
      <c r="G6" s="46">
        <v>857857500</v>
      </c>
      <c r="H6" s="46">
        <v>52786195</v>
      </c>
      <c r="I6" s="46">
        <v>2684678</v>
      </c>
      <c r="J6" s="46">
        <v>2375602</v>
      </c>
      <c r="K6" s="46">
        <v>1752338</v>
      </c>
      <c r="L6" s="81">
        <f t="shared" si="0"/>
        <v>6.1532591368613082E-2</v>
      </c>
      <c r="M6" s="81"/>
    </row>
    <row r="7" spans="1:13" x14ac:dyDescent="0.3">
      <c r="A7" t="s">
        <v>51</v>
      </c>
      <c r="B7">
        <v>2025</v>
      </c>
      <c r="C7" s="109">
        <v>45901</v>
      </c>
      <c r="D7" t="s">
        <v>94</v>
      </c>
      <c r="E7" t="s">
        <v>165</v>
      </c>
      <c r="F7">
        <v>190</v>
      </c>
      <c r="G7" s="46">
        <v>1464492533</v>
      </c>
      <c r="H7" s="46">
        <v>31178814</v>
      </c>
      <c r="I7" s="46">
        <v>2608917</v>
      </c>
      <c r="J7" s="46">
        <v>2375602</v>
      </c>
      <c r="K7" s="46">
        <v>1733831</v>
      </c>
      <c r="L7" s="81">
        <f t="shared" si="0"/>
        <v>2.1289841564525069E-2</v>
      </c>
      <c r="M7" s="81"/>
    </row>
    <row r="8" spans="1:13" x14ac:dyDescent="0.3">
      <c r="A8" t="s">
        <v>52</v>
      </c>
      <c r="B8">
        <v>2025</v>
      </c>
      <c r="C8" s="109">
        <v>45931</v>
      </c>
      <c r="D8" t="s">
        <v>94</v>
      </c>
      <c r="E8" t="s">
        <v>165</v>
      </c>
      <c r="F8">
        <v>180</v>
      </c>
      <c r="G8" s="46">
        <v>1272194008</v>
      </c>
      <c r="H8" s="46">
        <v>82582639</v>
      </c>
      <c r="I8" s="46">
        <v>2767405</v>
      </c>
      <c r="J8" s="46">
        <v>2375602</v>
      </c>
      <c r="K8" s="46">
        <v>1814082</v>
      </c>
      <c r="L8" s="81">
        <f t="shared" si="0"/>
        <v>6.491355758688655E-2</v>
      </c>
      <c r="M8" s="81"/>
    </row>
    <row r="9" spans="1:13" x14ac:dyDescent="0.3">
      <c r="A9" t="s">
        <v>53</v>
      </c>
      <c r="B9">
        <v>2025</v>
      </c>
      <c r="C9" s="109">
        <v>45962</v>
      </c>
      <c r="D9" t="s">
        <v>94</v>
      </c>
      <c r="E9" t="s">
        <v>165</v>
      </c>
      <c r="F9">
        <v>170</v>
      </c>
      <c r="G9" s="46">
        <v>791286362</v>
      </c>
      <c r="H9" s="46">
        <v>53530143</v>
      </c>
      <c r="I9" s="46">
        <v>2375925</v>
      </c>
      <c r="J9" s="46">
        <v>2375602</v>
      </c>
      <c r="K9" s="46">
        <v>1402657</v>
      </c>
      <c r="L9" s="81">
        <f t="shared" si="0"/>
        <v>6.7649520541085736E-2</v>
      </c>
      <c r="M9" s="81"/>
    </row>
    <row r="10" spans="1:13" x14ac:dyDescent="0.3">
      <c r="A10" t="s">
        <v>54</v>
      </c>
      <c r="B10">
        <v>2025</v>
      </c>
      <c r="C10" s="109">
        <v>45992</v>
      </c>
      <c r="D10" t="s">
        <v>94</v>
      </c>
      <c r="E10" t="s">
        <v>165</v>
      </c>
      <c r="F10">
        <v>170</v>
      </c>
      <c r="G10" s="46">
        <v>799655664</v>
      </c>
      <c r="H10" s="46">
        <v>99085507</v>
      </c>
      <c r="I10" s="46">
        <v>2548536</v>
      </c>
      <c r="J10" s="46">
        <v>2375602</v>
      </c>
      <c r="K10" s="46">
        <v>623787</v>
      </c>
      <c r="L10" s="81">
        <f t="shared" si="0"/>
        <v>0.12391021718568106</v>
      </c>
      <c r="M10" s="81"/>
    </row>
    <row r="11" spans="1:13" x14ac:dyDescent="0.3">
      <c r="A11" t="s">
        <v>56</v>
      </c>
      <c r="B11">
        <v>2026</v>
      </c>
      <c r="C11" s="109">
        <v>46023</v>
      </c>
      <c r="D11" t="s">
        <v>94</v>
      </c>
      <c r="E11" t="s">
        <v>165</v>
      </c>
      <c r="F11">
        <v>174</v>
      </c>
      <c r="G11" s="46">
        <v>1033581573</v>
      </c>
      <c r="H11" s="46">
        <v>990487786</v>
      </c>
      <c r="I11" s="46">
        <v>3124037</v>
      </c>
      <c r="J11" s="46">
        <v>2375602</v>
      </c>
      <c r="K11" s="46">
        <v>1855608</v>
      </c>
      <c r="L11" s="81">
        <f t="shared" si="0"/>
        <v>0.9583063513072132</v>
      </c>
      <c r="M11" s="81"/>
    </row>
    <row r="12" spans="1:13" x14ac:dyDescent="0.3">
      <c r="A12" t="s">
        <v>57</v>
      </c>
      <c r="B12">
        <v>2026</v>
      </c>
      <c r="C12" s="109">
        <v>46054</v>
      </c>
      <c r="D12" t="s">
        <v>94</v>
      </c>
      <c r="E12" t="s">
        <v>165</v>
      </c>
      <c r="F12">
        <v>173</v>
      </c>
      <c r="G12" s="46">
        <v>1212842231</v>
      </c>
      <c r="H12" s="46">
        <v>99020101</v>
      </c>
      <c r="I12" s="46">
        <v>2627291</v>
      </c>
      <c r="J12" s="46">
        <v>2375602</v>
      </c>
      <c r="K12" s="46">
        <v>1650000</v>
      </c>
      <c r="L12" s="81">
        <f t="shared" si="0"/>
        <v>8.164301874478512E-2</v>
      </c>
      <c r="M12" s="81"/>
    </row>
    <row r="13" spans="1:13" x14ac:dyDescent="0.3">
      <c r="A13" t="s">
        <v>58</v>
      </c>
      <c r="B13">
        <v>2026</v>
      </c>
      <c r="C13" s="109">
        <v>46082</v>
      </c>
      <c r="D13" t="s">
        <v>94</v>
      </c>
      <c r="E13" t="s">
        <v>165</v>
      </c>
      <c r="F13">
        <v>174</v>
      </c>
      <c r="I13" s="46">
        <v>3040850</v>
      </c>
      <c r="J13" s="46">
        <v>2375602</v>
      </c>
      <c r="K13" s="46">
        <v>1855608</v>
      </c>
      <c r="L13" s="81">
        <f t="shared" si="0"/>
        <v>0</v>
      </c>
      <c r="M13" s="81"/>
    </row>
    <row r="14" spans="1:13" x14ac:dyDescent="0.3">
      <c r="A14" t="s">
        <v>40</v>
      </c>
      <c r="B14">
        <v>2025</v>
      </c>
      <c r="C14" s="109">
        <v>45748</v>
      </c>
      <c r="D14" t="s">
        <v>99</v>
      </c>
      <c r="E14" t="s">
        <v>165</v>
      </c>
      <c r="F14">
        <v>134</v>
      </c>
      <c r="G14" s="46">
        <v>5893418605</v>
      </c>
      <c r="H14" s="46">
        <v>100661204</v>
      </c>
      <c r="I14" s="46">
        <v>1373534</v>
      </c>
      <c r="J14" s="46">
        <v>1800000</v>
      </c>
      <c r="K14" s="46">
        <v>863998</v>
      </c>
      <c r="L14" s="81">
        <f t="shared" si="0"/>
        <v>1.7080273903265351E-2</v>
      </c>
      <c r="M14" s="81"/>
    </row>
    <row r="15" spans="1:13" x14ac:dyDescent="0.3">
      <c r="A15" t="s">
        <v>61</v>
      </c>
      <c r="B15">
        <v>2025</v>
      </c>
      <c r="C15" s="109">
        <v>45778</v>
      </c>
      <c r="D15" t="s">
        <v>99</v>
      </c>
      <c r="E15" t="s">
        <v>165</v>
      </c>
      <c r="F15">
        <v>136</v>
      </c>
      <c r="G15" s="46">
        <v>178180447</v>
      </c>
      <c r="H15" s="46">
        <v>21557949</v>
      </c>
      <c r="I15" s="46">
        <v>1924220</v>
      </c>
      <c r="J15" s="46">
        <v>1800000</v>
      </c>
      <c r="K15" s="46">
        <v>1303937</v>
      </c>
      <c r="L15" s="81">
        <f t="shared" si="0"/>
        <v>0.1209894203486873</v>
      </c>
      <c r="M15" s="81"/>
    </row>
    <row r="16" spans="1:13" x14ac:dyDescent="0.3">
      <c r="A16" t="s">
        <v>62</v>
      </c>
      <c r="B16">
        <v>2025</v>
      </c>
      <c r="C16" s="109">
        <v>45809</v>
      </c>
      <c r="D16" t="s">
        <v>99</v>
      </c>
      <c r="E16" t="s">
        <v>165</v>
      </c>
      <c r="F16">
        <v>138</v>
      </c>
      <c r="G16" s="46">
        <v>651116375</v>
      </c>
      <c r="H16" s="46">
        <v>41591978</v>
      </c>
      <c r="I16" s="46">
        <v>2158459</v>
      </c>
      <c r="J16" s="46">
        <v>1800000</v>
      </c>
      <c r="K16" s="46">
        <v>1500827</v>
      </c>
      <c r="L16" s="81">
        <f t="shared" si="0"/>
        <v>6.3877948085701269E-2</v>
      </c>
      <c r="M16" s="81"/>
    </row>
    <row r="17" spans="1:13" x14ac:dyDescent="0.3">
      <c r="A17" t="s">
        <v>49</v>
      </c>
      <c r="B17">
        <v>2025</v>
      </c>
      <c r="C17" s="109">
        <v>45839</v>
      </c>
      <c r="D17" t="s">
        <v>99</v>
      </c>
      <c r="E17" t="s">
        <v>165</v>
      </c>
      <c r="F17">
        <v>144</v>
      </c>
      <c r="G17" s="46">
        <v>7181689458</v>
      </c>
      <c r="H17" s="46">
        <v>15131360</v>
      </c>
      <c r="I17" s="46">
        <v>2198620</v>
      </c>
      <c r="J17" s="46">
        <v>1800000</v>
      </c>
      <c r="K17" s="46">
        <v>1776890</v>
      </c>
      <c r="L17" s="81">
        <f t="shared" si="0"/>
        <v>2.1069359916620332E-3</v>
      </c>
      <c r="M17" s="81"/>
    </row>
    <row r="18" spans="1:13" x14ac:dyDescent="0.3">
      <c r="A18" t="s">
        <v>50</v>
      </c>
      <c r="B18">
        <v>2025</v>
      </c>
      <c r="C18" s="109">
        <v>45870</v>
      </c>
      <c r="D18" t="s">
        <v>99</v>
      </c>
      <c r="E18" t="s">
        <v>165</v>
      </c>
      <c r="F18">
        <v>152</v>
      </c>
      <c r="G18" s="46">
        <v>686286000</v>
      </c>
      <c r="H18" s="46">
        <v>42228956</v>
      </c>
      <c r="I18" s="46">
        <v>2147742</v>
      </c>
      <c r="J18" s="46">
        <v>1910000</v>
      </c>
      <c r="K18" s="46">
        <v>1752338</v>
      </c>
      <c r="L18" s="81">
        <f t="shared" si="0"/>
        <v>6.1532591368613082E-2</v>
      </c>
      <c r="M18" s="81"/>
    </row>
    <row r="19" spans="1:13" x14ac:dyDescent="0.3">
      <c r="A19" t="s">
        <v>51</v>
      </c>
      <c r="B19">
        <v>2025</v>
      </c>
      <c r="C19" s="109">
        <v>45901</v>
      </c>
      <c r="D19" t="s">
        <v>99</v>
      </c>
      <c r="E19" t="s">
        <v>165</v>
      </c>
      <c r="F19">
        <v>152</v>
      </c>
      <c r="G19" s="46">
        <v>1171594026</v>
      </c>
      <c r="H19" s="46">
        <v>24943051</v>
      </c>
      <c r="I19" s="46">
        <v>2087134</v>
      </c>
      <c r="J19" s="46">
        <v>1910000</v>
      </c>
      <c r="K19" s="46">
        <v>1733831</v>
      </c>
      <c r="L19" s="81">
        <f t="shared" si="0"/>
        <v>2.1289841401086147E-2</v>
      </c>
      <c r="M19" s="81"/>
    </row>
    <row r="20" spans="1:13" x14ac:dyDescent="0.3">
      <c r="A20" t="s">
        <v>52</v>
      </c>
      <c r="B20">
        <v>2025</v>
      </c>
      <c r="C20" s="109">
        <v>45931</v>
      </c>
      <c r="D20" t="s">
        <v>99</v>
      </c>
      <c r="E20" t="s">
        <v>165</v>
      </c>
      <c r="F20">
        <v>144</v>
      </c>
      <c r="G20" s="46">
        <v>1017755206</v>
      </c>
      <c r="H20" s="46">
        <v>66066111</v>
      </c>
      <c r="I20" s="46">
        <v>2213924</v>
      </c>
      <c r="J20" s="46">
        <v>1910000</v>
      </c>
      <c r="K20" s="46">
        <v>1814082</v>
      </c>
      <c r="L20" s="81">
        <f t="shared" si="0"/>
        <v>6.4913557415888085E-2</v>
      </c>
      <c r="M20" s="81"/>
    </row>
    <row r="21" spans="1:13" x14ac:dyDescent="0.3">
      <c r="A21" t="s">
        <v>53</v>
      </c>
      <c r="B21">
        <v>2025</v>
      </c>
      <c r="C21" s="109">
        <v>45962</v>
      </c>
      <c r="D21" t="s">
        <v>99</v>
      </c>
      <c r="E21" t="s">
        <v>165</v>
      </c>
      <c r="F21">
        <v>136</v>
      </c>
      <c r="G21" s="46">
        <v>633029090</v>
      </c>
      <c r="H21" s="46">
        <v>42824114</v>
      </c>
      <c r="I21" s="46">
        <v>1900740</v>
      </c>
      <c r="J21" s="46">
        <v>1910000</v>
      </c>
      <c r="K21" s="46">
        <v>1402657</v>
      </c>
      <c r="L21" s="81">
        <f t="shared" si="0"/>
        <v>6.7649519866456689E-2</v>
      </c>
      <c r="M21" s="81"/>
    </row>
    <row r="22" spans="1:13" x14ac:dyDescent="0.3">
      <c r="A22" t="s">
        <v>54</v>
      </c>
      <c r="B22">
        <v>2025</v>
      </c>
      <c r="C22" s="109">
        <v>45992</v>
      </c>
      <c r="D22" t="s">
        <v>99</v>
      </c>
      <c r="E22" t="s">
        <v>165</v>
      </c>
      <c r="F22">
        <v>136</v>
      </c>
      <c r="G22" s="46">
        <v>639724531</v>
      </c>
      <c r="H22" s="46">
        <v>79268406</v>
      </c>
      <c r="I22" s="46">
        <v>2038829</v>
      </c>
      <c r="J22" s="46">
        <v>1910000</v>
      </c>
      <c r="K22" s="46">
        <v>623787</v>
      </c>
      <c r="L22" s="81">
        <f t="shared" si="0"/>
        <v>0.12391021784968881</v>
      </c>
      <c r="M22" s="81"/>
    </row>
    <row r="23" spans="1:13" x14ac:dyDescent="0.3">
      <c r="A23" t="s">
        <v>56</v>
      </c>
      <c r="B23">
        <v>2026</v>
      </c>
      <c r="C23" s="109">
        <v>46023</v>
      </c>
      <c r="D23" t="s">
        <v>99</v>
      </c>
      <c r="E23" t="s">
        <v>165</v>
      </c>
      <c r="F23">
        <v>139</v>
      </c>
      <c r="G23" s="46">
        <v>826686518</v>
      </c>
      <c r="H23" s="46">
        <v>792390229</v>
      </c>
      <c r="I23" s="46">
        <v>2499230</v>
      </c>
      <c r="J23" s="46">
        <v>1910000</v>
      </c>
      <c r="K23" s="46">
        <v>1855608</v>
      </c>
      <c r="L23" s="81">
        <f t="shared" si="0"/>
        <v>0.95851354987260118</v>
      </c>
      <c r="M23" s="81"/>
    </row>
    <row r="24" spans="1:13" x14ac:dyDescent="0.3">
      <c r="A24" t="s">
        <v>57</v>
      </c>
      <c r="B24">
        <v>2026</v>
      </c>
      <c r="C24" s="109">
        <v>46054</v>
      </c>
      <c r="D24" t="s">
        <v>99</v>
      </c>
      <c r="E24" t="s">
        <v>165</v>
      </c>
      <c r="F24">
        <v>138</v>
      </c>
      <c r="G24" s="46">
        <v>970273785</v>
      </c>
      <c r="H24" s="46">
        <v>79216081</v>
      </c>
      <c r="I24" s="46">
        <v>2101833</v>
      </c>
      <c r="J24" s="46">
        <v>1910000</v>
      </c>
      <c r="K24" s="46">
        <v>1650000</v>
      </c>
      <c r="L24" s="81">
        <f t="shared" si="0"/>
        <v>8.1643018934083642E-2</v>
      </c>
      <c r="M24" s="81"/>
    </row>
    <row r="25" spans="1:13" x14ac:dyDescent="0.3">
      <c r="A25" t="s">
        <v>58</v>
      </c>
      <c r="B25">
        <v>2026</v>
      </c>
      <c r="C25" s="109">
        <v>46082</v>
      </c>
      <c r="D25" t="s">
        <v>99</v>
      </c>
      <c r="E25" t="s">
        <v>165</v>
      </c>
      <c r="F25">
        <v>139</v>
      </c>
      <c r="G25" s="46">
        <v>0</v>
      </c>
      <c r="H25" s="46">
        <v>0</v>
      </c>
      <c r="I25" s="46">
        <v>2432680</v>
      </c>
      <c r="J25" s="46">
        <v>1910000</v>
      </c>
      <c r="K25" s="46">
        <v>1855608</v>
      </c>
      <c r="L25" s="81">
        <f t="shared" si="0"/>
        <v>0</v>
      </c>
      <c r="M25" s="81"/>
    </row>
    <row r="26" spans="1:13" x14ac:dyDescent="0.3">
      <c r="A26" t="s">
        <v>40</v>
      </c>
      <c r="B26">
        <v>2025</v>
      </c>
      <c r="C26" s="109">
        <v>45748</v>
      </c>
      <c r="D26" t="s">
        <v>100</v>
      </c>
      <c r="E26" t="s">
        <v>165</v>
      </c>
      <c r="F26">
        <v>100</v>
      </c>
      <c r="G26" s="46">
        <v>4420063954</v>
      </c>
      <c r="H26" s="46">
        <v>75495903</v>
      </c>
      <c r="I26" s="46">
        <v>1030150</v>
      </c>
      <c r="J26" s="46">
        <v>1400000</v>
      </c>
      <c r="K26" s="46">
        <v>863998</v>
      </c>
      <c r="L26" s="81">
        <f t="shared" si="0"/>
        <v>1.7080273902299287E-2</v>
      </c>
      <c r="M26" s="81"/>
    </row>
    <row r="27" spans="1:13" x14ac:dyDescent="0.3">
      <c r="A27" t="s">
        <v>61</v>
      </c>
      <c r="B27">
        <v>2025</v>
      </c>
      <c r="C27" s="109">
        <v>45778</v>
      </c>
      <c r="D27" t="s">
        <v>100</v>
      </c>
      <c r="E27" t="s">
        <v>165</v>
      </c>
      <c r="F27">
        <v>102</v>
      </c>
      <c r="G27" s="46">
        <v>133635335</v>
      </c>
      <c r="H27" s="46">
        <v>16168462</v>
      </c>
      <c r="I27" s="46">
        <v>1443165</v>
      </c>
      <c r="J27" s="46">
        <v>1400000</v>
      </c>
      <c r="K27" s="46">
        <v>1303937</v>
      </c>
      <c r="L27" s="81">
        <f t="shared" si="0"/>
        <v>0.1209894224457925</v>
      </c>
      <c r="M27" s="81"/>
    </row>
    <row r="28" spans="1:13" x14ac:dyDescent="0.3">
      <c r="A28" t="s">
        <v>62</v>
      </c>
      <c r="B28">
        <v>2025</v>
      </c>
      <c r="C28" s="109">
        <v>45809</v>
      </c>
      <c r="D28" t="s">
        <v>100</v>
      </c>
      <c r="E28" t="s">
        <v>165</v>
      </c>
      <c r="F28">
        <v>104</v>
      </c>
      <c r="G28" s="46">
        <v>488337281</v>
      </c>
      <c r="H28" s="46">
        <v>31193984</v>
      </c>
      <c r="I28" s="46">
        <v>1618844</v>
      </c>
      <c r="J28" s="46">
        <v>1400000</v>
      </c>
      <c r="K28" s="46">
        <v>1500827</v>
      </c>
      <c r="L28" s="81">
        <f t="shared" si="0"/>
        <v>6.3877949142285534E-2</v>
      </c>
      <c r="M28" s="81"/>
    </row>
    <row r="29" spans="1:13" x14ac:dyDescent="0.3">
      <c r="A29" t="s">
        <v>49</v>
      </c>
      <c r="B29">
        <v>2025</v>
      </c>
      <c r="C29" s="109">
        <v>45839</v>
      </c>
      <c r="D29" t="s">
        <v>100</v>
      </c>
      <c r="E29" t="s">
        <v>165</v>
      </c>
      <c r="F29">
        <v>108</v>
      </c>
      <c r="G29" s="46">
        <v>5386267094</v>
      </c>
      <c r="H29" s="46">
        <v>11348520</v>
      </c>
      <c r="I29" s="46">
        <v>1648965</v>
      </c>
      <c r="J29" s="46">
        <v>1400000</v>
      </c>
      <c r="K29" s="46">
        <v>1776890</v>
      </c>
      <c r="L29" s="81">
        <f t="shared" si="0"/>
        <v>2.1069359914664492E-3</v>
      </c>
    </row>
    <row r="30" spans="1:13" x14ac:dyDescent="0.3">
      <c r="A30" t="s">
        <v>50</v>
      </c>
      <c r="B30">
        <v>2025</v>
      </c>
      <c r="C30" s="109">
        <v>45870</v>
      </c>
      <c r="D30" t="s">
        <v>100</v>
      </c>
      <c r="E30" t="s">
        <v>165</v>
      </c>
      <c r="F30">
        <v>114</v>
      </c>
      <c r="G30" s="46">
        <v>514714500</v>
      </c>
      <c r="H30" s="46">
        <v>31671717</v>
      </c>
      <c r="I30" s="46">
        <v>1610807</v>
      </c>
      <c r="J30" s="46">
        <v>1500000</v>
      </c>
      <c r="K30" s="46">
        <v>1752338</v>
      </c>
      <c r="L30" s="81">
        <f t="shared" si="0"/>
        <v>6.1532591368613082E-2</v>
      </c>
    </row>
    <row r="31" spans="1:13" x14ac:dyDescent="0.3">
      <c r="A31" t="s">
        <v>51</v>
      </c>
      <c r="B31">
        <v>2025</v>
      </c>
      <c r="C31" s="109">
        <v>45901</v>
      </c>
      <c r="D31" t="s">
        <v>100</v>
      </c>
      <c r="E31" t="s">
        <v>165</v>
      </c>
      <c r="F31">
        <v>114</v>
      </c>
      <c r="G31" s="46">
        <v>878695520</v>
      </c>
      <c r="H31" s="46">
        <v>18707288</v>
      </c>
      <c r="I31" s="46">
        <v>1565350</v>
      </c>
      <c r="J31" s="46">
        <v>1500000</v>
      </c>
      <c r="K31" s="46">
        <v>1733831</v>
      </c>
      <c r="L31" s="81">
        <f t="shared" si="0"/>
        <v>2.1289841104459029E-2</v>
      </c>
    </row>
    <row r="32" spans="1:13" x14ac:dyDescent="0.3">
      <c r="A32" t="s">
        <v>52</v>
      </c>
      <c r="B32">
        <v>2025</v>
      </c>
      <c r="C32" s="109">
        <v>45931</v>
      </c>
      <c r="D32" t="s">
        <v>100</v>
      </c>
      <c r="E32" t="s">
        <v>165</v>
      </c>
      <c r="F32">
        <v>108</v>
      </c>
      <c r="G32" s="46">
        <v>763331605</v>
      </c>
      <c r="H32" s="46">
        <v>49549583</v>
      </c>
      <c r="I32" s="46">
        <v>1660443</v>
      </c>
      <c r="J32" s="46">
        <v>1500000</v>
      </c>
      <c r="K32" s="46">
        <v>1814082</v>
      </c>
      <c r="L32" s="81">
        <f t="shared" si="0"/>
        <v>6.491226444108783E-2</v>
      </c>
    </row>
    <row r="33" spans="1:12" x14ac:dyDescent="0.3">
      <c r="A33" t="s">
        <v>53</v>
      </c>
      <c r="B33">
        <v>2025</v>
      </c>
      <c r="C33" s="109">
        <v>45962</v>
      </c>
      <c r="D33" t="s">
        <v>100</v>
      </c>
      <c r="E33" t="s">
        <v>165</v>
      </c>
      <c r="F33">
        <v>102</v>
      </c>
      <c r="G33" s="46">
        <v>474771817</v>
      </c>
      <c r="H33" s="46">
        <v>32118086</v>
      </c>
      <c r="I33" s="46">
        <v>1425555</v>
      </c>
      <c r="J33" s="46">
        <v>1500000</v>
      </c>
      <c r="K33" s="46">
        <v>1402657</v>
      </c>
      <c r="L33" s="81">
        <f t="shared" si="0"/>
        <v>6.764952099083843E-2</v>
      </c>
    </row>
    <row r="34" spans="1:12" x14ac:dyDescent="0.3">
      <c r="A34" t="s">
        <v>54</v>
      </c>
      <c r="B34">
        <v>2025</v>
      </c>
      <c r="C34" s="109">
        <v>45992</v>
      </c>
      <c r="D34" t="s">
        <v>100</v>
      </c>
      <c r="E34" t="s">
        <v>165</v>
      </c>
      <c r="F34">
        <v>102</v>
      </c>
      <c r="G34" s="46">
        <v>479793398</v>
      </c>
      <c r="H34" s="46">
        <v>59451304</v>
      </c>
      <c r="I34" s="46">
        <v>1529122</v>
      </c>
      <c r="J34" s="46">
        <v>1500000</v>
      </c>
      <c r="K34" s="46">
        <v>623787</v>
      </c>
      <c r="L34" s="81">
        <f t="shared" si="0"/>
        <v>0.12391021687213795</v>
      </c>
    </row>
    <row r="35" spans="1:12" x14ac:dyDescent="0.3">
      <c r="A35" t="s">
        <v>56</v>
      </c>
      <c r="B35">
        <v>2026</v>
      </c>
      <c r="C35" s="109">
        <v>46023</v>
      </c>
      <c r="D35" t="s">
        <v>100</v>
      </c>
      <c r="E35" t="s">
        <v>165</v>
      </c>
      <c r="F35">
        <v>104</v>
      </c>
      <c r="G35" s="46">
        <v>620148944</v>
      </c>
      <c r="H35" s="46">
        <v>594292672</v>
      </c>
      <c r="I35" s="46">
        <v>1874422</v>
      </c>
      <c r="J35" s="46">
        <v>1500000</v>
      </c>
      <c r="K35" s="46">
        <v>1855608</v>
      </c>
      <c r="L35" s="81">
        <f t="shared" si="0"/>
        <v>0.95830635164316269</v>
      </c>
    </row>
    <row r="36" spans="1:12" x14ac:dyDescent="0.3">
      <c r="A36" t="s">
        <v>57</v>
      </c>
      <c r="B36">
        <v>2026</v>
      </c>
      <c r="C36" s="109">
        <v>46054</v>
      </c>
      <c r="D36" t="s">
        <v>100</v>
      </c>
      <c r="E36" t="s">
        <v>165</v>
      </c>
      <c r="F36">
        <v>104</v>
      </c>
      <c r="G36" s="46">
        <v>727705339</v>
      </c>
      <c r="H36" s="46">
        <v>59412061</v>
      </c>
      <c r="I36" s="46">
        <v>1576375</v>
      </c>
      <c r="J36" s="46">
        <v>1500000</v>
      </c>
      <c r="K36" s="46">
        <v>1650000</v>
      </c>
      <c r="L36" s="81">
        <f t="shared" si="0"/>
        <v>8.1643019249581186E-2</v>
      </c>
    </row>
    <row r="37" spans="1:12" x14ac:dyDescent="0.3">
      <c r="A37" t="s">
        <v>58</v>
      </c>
      <c r="B37">
        <v>2026</v>
      </c>
      <c r="C37" s="109">
        <v>46082</v>
      </c>
      <c r="D37" t="s">
        <v>100</v>
      </c>
      <c r="E37" t="s">
        <v>165</v>
      </c>
      <c r="F37">
        <v>104</v>
      </c>
      <c r="G37" s="46">
        <v>0</v>
      </c>
      <c r="H37" s="46">
        <v>0</v>
      </c>
      <c r="I37" s="46">
        <v>1824510</v>
      </c>
      <c r="J37" s="46">
        <v>1500000</v>
      </c>
      <c r="K37" s="46">
        <v>1855608</v>
      </c>
      <c r="L37" s="81">
        <f t="shared" si="0"/>
        <v>0</v>
      </c>
    </row>
    <row r="39" spans="1:12" x14ac:dyDescent="0.3">
      <c r="H39" s="81"/>
    </row>
    <row r="42" spans="1:12" x14ac:dyDescent="0.3">
      <c r="J42" s="81"/>
    </row>
  </sheetData>
  <autoFilter ref="A1:L37" xr:uid="{519EB8F8-1824-4F65-849F-0E6B65AB6EC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2468-06DD-4CD2-BBF0-103A38B32E9E}">
  <dimension ref="A1:G37"/>
  <sheetViews>
    <sheetView workbookViewId="0"/>
  </sheetViews>
  <sheetFormatPr defaultRowHeight="14.4" x14ac:dyDescent="0.3"/>
  <cols>
    <col min="1" max="1" width="9.77734375" bestFit="1" customWidth="1"/>
    <col min="2" max="3" width="9.77734375" customWidth="1"/>
    <col min="4" max="4" width="8.6640625" bestFit="1" customWidth="1"/>
    <col min="5" max="5" width="8.6640625" customWidth="1"/>
    <col min="6" max="6" width="22.88671875" style="81" customWidth="1"/>
    <col min="7" max="7" width="20" style="81" bestFit="1" customWidth="1"/>
  </cols>
  <sheetData>
    <row r="1" spans="1:7" x14ac:dyDescent="0.3">
      <c r="A1" s="104" t="s">
        <v>95</v>
      </c>
      <c r="B1" s="104" t="s">
        <v>166</v>
      </c>
      <c r="C1" s="104" t="s">
        <v>167</v>
      </c>
      <c r="D1" s="104" t="s">
        <v>96</v>
      </c>
      <c r="E1" s="104" t="s">
        <v>164</v>
      </c>
      <c r="F1" s="106" t="s">
        <v>108</v>
      </c>
      <c r="G1" s="106" t="s">
        <v>109</v>
      </c>
    </row>
    <row r="2" spans="1:7" x14ac:dyDescent="0.3">
      <c r="A2" t="s">
        <v>40</v>
      </c>
      <c r="B2">
        <f>_xlfn.XLOOKUP(A2,'Financials &amp; Productivity'!A:A,'Financials &amp; Productivity'!B:B)</f>
        <v>2025</v>
      </c>
      <c r="C2" s="109">
        <f>_xlfn.XLOOKUP(A2,'Financials &amp; Productivity'!A:A,'Financials &amp; Productivity'!C:C)</f>
        <v>45748</v>
      </c>
      <c r="D2" t="s">
        <v>94</v>
      </c>
      <c r="E2" t="s">
        <v>165</v>
      </c>
      <c r="F2" s="81">
        <v>0.01</v>
      </c>
      <c r="G2" s="81">
        <v>0</v>
      </c>
    </row>
    <row r="3" spans="1:7" x14ac:dyDescent="0.3">
      <c r="A3" t="s">
        <v>61</v>
      </c>
      <c r="B3">
        <f>_xlfn.XLOOKUP(A3,'Financials &amp; Productivity'!A:A,'Financials &amp; Productivity'!B:B)</f>
        <v>2025</v>
      </c>
      <c r="C3" s="109">
        <f>_xlfn.XLOOKUP(A3,'Financials &amp; Productivity'!A:A,'Financials &amp; Productivity'!C:C)</f>
        <v>45778</v>
      </c>
      <c r="D3" t="s">
        <v>94</v>
      </c>
      <c r="E3" t="s">
        <v>165</v>
      </c>
      <c r="F3" s="81">
        <v>0.03</v>
      </c>
      <c r="G3" s="81">
        <v>0</v>
      </c>
    </row>
    <row r="4" spans="1:7" x14ac:dyDescent="0.3">
      <c r="A4" t="s">
        <v>62</v>
      </c>
      <c r="B4">
        <f>_xlfn.XLOOKUP(A4,'Financials &amp; Productivity'!A:A,'Financials &amp; Productivity'!B:B)</f>
        <v>2025</v>
      </c>
      <c r="C4" s="109">
        <f>_xlfn.XLOOKUP(A4,'Financials &amp; Productivity'!A:A,'Financials &amp; Productivity'!C:C)</f>
        <v>45809</v>
      </c>
      <c r="D4" t="s">
        <v>94</v>
      </c>
      <c r="E4" t="s">
        <v>165</v>
      </c>
      <c r="F4" s="81">
        <v>0.05</v>
      </c>
      <c r="G4" s="81">
        <v>0</v>
      </c>
    </row>
    <row r="5" spans="1:7" x14ac:dyDescent="0.3">
      <c r="A5" t="s">
        <v>49</v>
      </c>
      <c r="B5">
        <f>_xlfn.XLOOKUP(A5,'Financials &amp; Productivity'!A:A,'Financials &amp; Productivity'!B:B)</f>
        <v>2025</v>
      </c>
      <c r="C5" s="109">
        <f>_xlfn.XLOOKUP(A5,'Financials &amp; Productivity'!A:A,'Financials &amp; Productivity'!C:C)</f>
        <v>45839</v>
      </c>
      <c r="D5" t="s">
        <v>94</v>
      </c>
      <c r="E5" t="s">
        <v>165</v>
      </c>
      <c r="F5" s="81">
        <v>0.05</v>
      </c>
      <c r="G5" s="81">
        <v>0</v>
      </c>
    </row>
    <row r="6" spans="1:7" x14ac:dyDescent="0.3">
      <c r="A6" t="s">
        <v>50</v>
      </c>
      <c r="B6">
        <f>_xlfn.XLOOKUP(A6,'Financials &amp; Productivity'!A:A,'Financials &amp; Productivity'!B:B)</f>
        <v>2025</v>
      </c>
      <c r="C6" s="109">
        <f>_xlfn.XLOOKUP(A6,'Financials &amp; Productivity'!A:A,'Financials &amp; Productivity'!C:C)</f>
        <v>45870</v>
      </c>
      <c r="D6" t="s">
        <v>94</v>
      </c>
      <c r="E6" t="s">
        <v>165</v>
      </c>
      <c r="F6" s="81">
        <v>0.04</v>
      </c>
      <c r="G6" s="81">
        <v>0</v>
      </c>
    </row>
    <row r="7" spans="1:7" x14ac:dyDescent="0.3">
      <c r="A7" t="s">
        <v>51</v>
      </c>
      <c r="B7">
        <f>_xlfn.XLOOKUP(A7,'Financials &amp; Productivity'!A:A,'Financials &amp; Productivity'!B:B)</f>
        <v>2025</v>
      </c>
      <c r="C7" s="109">
        <f>_xlfn.XLOOKUP(A7,'Financials &amp; Productivity'!A:A,'Financials &amp; Productivity'!C:C)</f>
        <v>45901</v>
      </c>
      <c r="D7" t="s">
        <v>94</v>
      </c>
      <c r="E7" t="s">
        <v>165</v>
      </c>
      <c r="F7" s="81">
        <v>0.06</v>
      </c>
      <c r="G7" s="81">
        <v>0</v>
      </c>
    </row>
    <row r="8" spans="1:7" x14ac:dyDescent="0.3">
      <c r="A8" t="s">
        <v>52</v>
      </c>
      <c r="B8">
        <f>_xlfn.XLOOKUP(A8,'Financials &amp; Productivity'!A:A,'Financials &amp; Productivity'!B:B)</f>
        <v>2025</v>
      </c>
      <c r="C8" s="109">
        <f>_xlfn.XLOOKUP(A8,'Financials &amp; Productivity'!A:A,'Financials &amp; Productivity'!C:C)</f>
        <v>45931</v>
      </c>
      <c r="D8" t="s">
        <v>94</v>
      </c>
      <c r="E8" t="s">
        <v>165</v>
      </c>
      <c r="F8" s="81">
        <v>0.08</v>
      </c>
      <c r="G8" s="81">
        <v>0</v>
      </c>
    </row>
    <row r="9" spans="1:7" x14ac:dyDescent="0.3">
      <c r="A9" t="s">
        <v>53</v>
      </c>
      <c r="B9">
        <f>_xlfn.XLOOKUP(A9,'Financials &amp; Productivity'!A:A,'Financials &amp; Productivity'!B:B)</f>
        <v>2025</v>
      </c>
      <c r="C9" s="109">
        <f>_xlfn.XLOOKUP(A9,'Financials &amp; Productivity'!A:A,'Financials &amp; Productivity'!C:C)</f>
        <v>45962</v>
      </c>
      <c r="D9" t="s">
        <v>94</v>
      </c>
      <c r="E9" t="s">
        <v>165</v>
      </c>
      <c r="F9" s="81">
        <v>0.03</v>
      </c>
      <c r="G9" s="81">
        <v>0</v>
      </c>
    </row>
    <row r="10" spans="1:7" x14ac:dyDescent="0.3">
      <c r="A10" t="s">
        <v>54</v>
      </c>
      <c r="B10">
        <f>_xlfn.XLOOKUP(A10,'Financials &amp; Productivity'!A:A,'Financials &amp; Productivity'!B:B)</f>
        <v>2025</v>
      </c>
      <c r="C10" s="109">
        <f>_xlfn.XLOOKUP(A10,'Financials &amp; Productivity'!A:A,'Financials &amp; Productivity'!C:C)</f>
        <v>45992</v>
      </c>
      <c r="D10" t="s">
        <v>94</v>
      </c>
      <c r="E10" t="s">
        <v>165</v>
      </c>
      <c r="F10" s="81">
        <v>0.03</v>
      </c>
      <c r="G10" s="81">
        <v>0</v>
      </c>
    </row>
    <row r="11" spans="1:7" x14ac:dyDescent="0.3">
      <c r="A11" t="s">
        <v>56</v>
      </c>
      <c r="B11">
        <f>_xlfn.XLOOKUP(A11,'Financials &amp; Productivity'!A:A,'Financials &amp; Productivity'!B:B)</f>
        <v>2026</v>
      </c>
      <c r="C11" s="109">
        <f>_xlfn.XLOOKUP(A11,'Financials &amp; Productivity'!A:A,'Financials &amp; Productivity'!C:C)</f>
        <v>46023</v>
      </c>
      <c r="D11" t="s">
        <v>94</v>
      </c>
      <c r="E11" t="s">
        <v>165</v>
      </c>
      <c r="F11" s="81">
        <v>0</v>
      </c>
      <c r="G11" s="81">
        <v>0</v>
      </c>
    </row>
    <row r="12" spans="1:7" x14ac:dyDescent="0.3">
      <c r="A12" t="s">
        <v>57</v>
      </c>
      <c r="B12">
        <f>_xlfn.XLOOKUP(A12,'Financials &amp; Productivity'!A:A,'Financials &amp; Productivity'!B:B)</f>
        <v>2026</v>
      </c>
      <c r="C12" s="109">
        <f>_xlfn.XLOOKUP(A12,'Financials &amp; Productivity'!A:A,'Financials &amp; Productivity'!C:C)</f>
        <v>46054</v>
      </c>
      <c r="D12" t="s">
        <v>94</v>
      </c>
      <c r="E12" t="s">
        <v>165</v>
      </c>
      <c r="F12" s="81">
        <v>0</v>
      </c>
      <c r="G12" s="81">
        <v>0</v>
      </c>
    </row>
    <row r="13" spans="1:7" x14ac:dyDescent="0.3">
      <c r="A13" t="s">
        <v>58</v>
      </c>
      <c r="B13">
        <f>_xlfn.XLOOKUP(A13,'Financials &amp; Productivity'!A:A,'Financials &amp; Productivity'!B:B)</f>
        <v>2026</v>
      </c>
      <c r="C13" s="109">
        <f>_xlfn.XLOOKUP(A13,'Financials &amp; Productivity'!A:A,'Financials &amp; Productivity'!C:C)</f>
        <v>46082</v>
      </c>
      <c r="D13" t="s">
        <v>94</v>
      </c>
      <c r="E13" t="s">
        <v>165</v>
      </c>
      <c r="F13" s="81">
        <v>0</v>
      </c>
      <c r="G13" s="81">
        <v>0</v>
      </c>
    </row>
    <row r="14" spans="1:7" x14ac:dyDescent="0.3">
      <c r="A14" t="s">
        <v>40</v>
      </c>
      <c r="B14">
        <f>_xlfn.XLOOKUP(A14,'Financials &amp; Productivity'!A:A,'Financials &amp; Productivity'!B:B)</f>
        <v>2025</v>
      </c>
      <c r="C14" s="109">
        <f>_xlfn.XLOOKUP(A14,'Financials &amp; Productivity'!A:A,'Financials &amp; Productivity'!C:C)</f>
        <v>45748</v>
      </c>
      <c r="D14" t="s">
        <v>99</v>
      </c>
      <c r="E14" t="s">
        <v>165</v>
      </c>
      <c r="F14" s="81">
        <v>0.01</v>
      </c>
      <c r="G14" s="81">
        <v>0</v>
      </c>
    </row>
    <row r="15" spans="1:7" x14ac:dyDescent="0.3">
      <c r="A15" t="s">
        <v>61</v>
      </c>
      <c r="B15">
        <f>_xlfn.XLOOKUP(A15,'Financials &amp; Productivity'!A:A,'Financials &amp; Productivity'!B:B)</f>
        <v>2025</v>
      </c>
      <c r="C15" s="109">
        <f>_xlfn.XLOOKUP(A15,'Financials &amp; Productivity'!A:A,'Financials &amp; Productivity'!C:C)</f>
        <v>45778</v>
      </c>
      <c r="D15" t="s">
        <v>99</v>
      </c>
      <c r="E15" t="s">
        <v>165</v>
      </c>
      <c r="F15" s="81">
        <v>0.02</v>
      </c>
      <c r="G15" s="81">
        <v>0</v>
      </c>
    </row>
    <row r="16" spans="1:7" x14ac:dyDescent="0.3">
      <c r="A16" t="s">
        <v>62</v>
      </c>
      <c r="B16">
        <f>_xlfn.XLOOKUP(A16,'Financials &amp; Productivity'!A:A,'Financials &amp; Productivity'!B:B)</f>
        <v>2025</v>
      </c>
      <c r="C16" s="109">
        <f>_xlfn.XLOOKUP(A16,'Financials &amp; Productivity'!A:A,'Financials &amp; Productivity'!C:C)</f>
        <v>45809</v>
      </c>
      <c r="D16" t="s">
        <v>99</v>
      </c>
      <c r="E16" t="s">
        <v>165</v>
      </c>
      <c r="F16" s="81">
        <v>0.04</v>
      </c>
      <c r="G16" s="81">
        <v>0</v>
      </c>
    </row>
    <row r="17" spans="1:7" x14ac:dyDescent="0.3">
      <c r="A17" t="s">
        <v>49</v>
      </c>
      <c r="B17">
        <f>_xlfn.XLOOKUP(A17,'Financials &amp; Productivity'!A:A,'Financials &amp; Productivity'!B:B)</f>
        <v>2025</v>
      </c>
      <c r="C17" s="109">
        <f>_xlfn.XLOOKUP(A17,'Financials &amp; Productivity'!A:A,'Financials &amp; Productivity'!C:C)</f>
        <v>45839</v>
      </c>
      <c r="D17" t="s">
        <v>99</v>
      </c>
      <c r="E17" t="s">
        <v>165</v>
      </c>
      <c r="F17" s="81">
        <v>0.04</v>
      </c>
      <c r="G17" s="81">
        <v>0</v>
      </c>
    </row>
    <row r="18" spans="1:7" x14ac:dyDescent="0.3">
      <c r="A18" t="s">
        <v>50</v>
      </c>
      <c r="B18">
        <f>_xlfn.XLOOKUP(A18,'Financials &amp; Productivity'!A:A,'Financials &amp; Productivity'!B:B)</f>
        <v>2025</v>
      </c>
      <c r="C18" s="109">
        <f>_xlfn.XLOOKUP(A18,'Financials &amp; Productivity'!A:A,'Financials &amp; Productivity'!C:C)</f>
        <v>45870</v>
      </c>
      <c r="D18" t="s">
        <v>99</v>
      </c>
      <c r="E18" t="s">
        <v>165</v>
      </c>
      <c r="F18" s="81">
        <v>0.03</v>
      </c>
      <c r="G18" s="81">
        <v>0</v>
      </c>
    </row>
    <row r="19" spans="1:7" x14ac:dyDescent="0.3">
      <c r="A19" t="s">
        <v>51</v>
      </c>
      <c r="B19">
        <f>_xlfn.XLOOKUP(A19,'Financials &amp; Productivity'!A:A,'Financials &amp; Productivity'!B:B)</f>
        <v>2025</v>
      </c>
      <c r="C19" s="109">
        <f>_xlfn.XLOOKUP(A19,'Financials &amp; Productivity'!A:A,'Financials &amp; Productivity'!C:C)</f>
        <v>45901</v>
      </c>
      <c r="D19" t="s">
        <v>99</v>
      </c>
      <c r="E19" t="s">
        <v>165</v>
      </c>
      <c r="F19" s="81">
        <v>0.05</v>
      </c>
      <c r="G19" s="81">
        <v>0</v>
      </c>
    </row>
    <row r="20" spans="1:7" x14ac:dyDescent="0.3">
      <c r="A20" t="s">
        <v>52</v>
      </c>
      <c r="B20">
        <f>_xlfn.XLOOKUP(A20,'Financials &amp; Productivity'!A:A,'Financials &amp; Productivity'!B:B)</f>
        <v>2025</v>
      </c>
      <c r="C20" s="109">
        <f>_xlfn.XLOOKUP(A20,'Financials &amp; Productivity'!A:A,'Financials &amp; Productivity'!C:C)</f>
        <v>45931</v>
      </c>
      <c r="D20" t="s">
        <v>99</v>
      </c>
      <c r="E20" t="s">
        <v>165</v>
      </c>
      <c r="F20" s="81">
        <v>7.0000000000000007E-2</v>
      </c>
      <c r="G20" s="81">
        <v>0</v>
      </c>
    </row>
    <row r="21" spans="1:7" x14ac:dyDescent="0.3">
      <c r="A21" t="s">
        <v>53</v>
      </c>
      <c r="B21">
        <f>_xlfn.XLOOKUP(A21,'Financials &amp; Productivity'!A:A,'Financials &amp; Productivity'!B:B)</f>
        <v>2025</v>
      </c>
      <c r="C21" s="109">
        <f>_xlfn.XLOOKUP(A21,'Financials &amp; Productivity'!A:A,'Financials &amp; Productivity'!C:C)</f>
        <v>45962</v>
      </c>
      <c r="D21" t="s">
        <v>99</v>
      </c>
      <c r="E21" t="s">
        <v>165</v>
      </c>
      <c r="F21" s="81">
        <v>0.02</v>
      </c>
      <c r="G21" s="81">
        <v>0</v>
      </c>
    </row>
    <row r="22" spans="1:7" x14ac:dyDescent="0.3">
      <c r="A22" t="s">
        <v>54</v>
      </c>
      <c r="B22">
        <f>_xlfn.XLOOKUP(A22,'Financials &amp; Productivity'!A:A,'Financials &amp; Productivity'!B:B)</f>
        <v>2025</v>
      </c>
      <c r="C22" s="109">
        <f>_xlfn.XLOOKUP(A22,'Financials &amp; Productivity'!A:A,'Financials &amp; Productivity'!C:C)</f>
        <v>45992</v>
      </c>
      <c r="D22" t="s">
        <v>99</v>
      </c>
      <c r="E22" t="s">
        <v>165</v>
      </c>
      <c r="F22" s="81">
        <v>0.02</v>
      </c>
      <c r="G22" s="81">
        <v>0</v>
      </c>
    </row>
    <row r="23" spans="1:7" x14ac:dyDescent="0.3">
      <c r="A23" t="s">
        <v>56</v>
      </c>
      <c r="B23">
        <f>_xlfn.XLOOKUP(A23,'Financials &amp; Productivity'!A:A,'Financials &amp; Productivity'!B:B)</f>
        <v>2026</v>
      </c>
      <c r="C23" s="109">
        <f>_xlfn.XLOOKUP(A23,'Financials &amp; Productivity'!A:A,'Financials &amp; Productivity'!C:C)</f>
        <v>46023</v>
      </c>
      <c r="D23" t="s">
        <v>99</v>
      </c>
      <c r="E23" t="s">
        <v>165</v>
      </c>
      <c r="F23" s="81">
        <v>0</v>
      </c>
      <c r="G23" s="81">
        <v>0</v>
      </c>
    </row>
    <row r="24" spans="1:7" x14ac:dyDescent="0.3">
      <c r="A24" t="s">
        <v>57</v>
      </c>
      <c r="B24">
        <f>_xlfn.XLOOKUP(A24,'Financials &amp; Productivity'!A:A,'Financials &amp; Productivity'!B:B)</f>
        <v>2026</v>
      </c>
      <c r="C24" s="109">
        <f>_xlfn.XLOOKUP(A24,'Financials &amp; Productivity'!A:A,'Financials &amp; Productivity'!C:C)</f>
        <v>46054</v>
      </c>
      <c r="D24" t="s">
        <v>99</v>
      </c>
      <c r="E24" t="s">
        <v>165</v>
      </c>
      <c r="F24" s="81">
        <v>0</v>
      </c>
      <c r="G24" s="81">
        <v>0</v>
      </c>
    </row>
    <row r="25" spans="1:7" x14ac:dyDescent="0.3">
      <c r="A25" t="s">
        <v>58</v>
      </c>
      <c r="B25">
        <f>_xlfn.XLOOKUP(A25,'Financials &amp; Productivity'!A:A,'Financials &amp; Productivity'!B:B)</f>
        <v>2026</v>
      </c>
      <c r="C25" s="109">
        <f>_xlfn.XLOOKUP(A25,'Financials &amp; Productivity'!A:A,'Financials &amp; Productivity'!C:C)</f>
        <v>46082</v>
      </c>
      <c r="D25" t="s">
        <v>99</v>
      </c>
      <c r="E25" t="s">
        <v>165</v>
      </c>
      <c r="F25" s="81">
        <v>0</v>
      </c>
      <c r="G25" s="81">
        <v>0</v>
      </c>
    </row>
    <row r="26" spans="1:7" x14ac:dyDescent="0.3">
      <c r="A26" t="s">
        <v>40</v>
      </c>
      <c r="B26">
        <f>_xlfn.XLOOKUP(A26,'Financials &amp; Productivity'!A:A,'Financials &amp; Productivity'!B:B)</f>
        <v>2025</v>
      </c>
      <c r="C26" s="109">
        <f>_xlfn.XLOOKUP(A26,'Financials &amp; Productivity'!A:A,'Financials &amp; Productivity'!C:C)</f>
        <v>45748</v>
      </c>
      <c r="D26" t="s">
        <v>100</v>
      </c>
      <c r="E26" t="s">
        <v>165</v>
      </c>
      <c r="F26" s="81">
        <v>0.01</v>
      </c>
      <c r="G26" s="81">
        <v>0</v>
      </c>
    </row>
    <row r="27" spans="1:7" x14ac:dyDescent="0.3">
      <c r="A27" t="s">
        <v>61</v>
      </c>
      <c r="B27">
        <f>_xlfn.XLOOKUP(A27,'Financials &amp; Productivity'!A:A,'Financials &amp; Productivity'!B:B)</f>
        <v>2025</v>
      </c>
      <c r="C27" s="109">
        <f>_xlfn.XLOOKUP(A27,'Financials &amp; Productivity'!A:A,'Financials &amp; Productivity'!C:C)</f>
        <v>45778</v>
      </c>
      <c r="D27" t="s">
        <v>100</v>
      </c>
      <c r="E27" t="s">
        <v>165</v>
      </c>
      <c r="F27" s="81">
        <v>0.02</v>
      </c>
      <c r="G27" s="81">
        <v>0</v>
      </c>
    </row>
    <row r="28" spans="1:7" x14ac:dyDescent="0.3">
      <c r="A28" t="s">
        <v>62</v>
      </c>
      <c r="B28">
        <f>_xlfn.XLOOKUP(A28,'Financials &amp; Productivity'!A:A,'Financials &amp; Productivity'!B:B)</f>
        <v>2025</v>
      </c>
      <c r="C28" s="109">
        <f>_xlfn.XLOOKUP(A28,'Financials &amp; Productivity'!A:A,'Financials &amp; Productivity'!C:C)</f>
        <v>45809</v>
      </c>
      <c r="D28" t="s">
        <v>100</v>
      </c>
      <c r="E28" t="s">
        <v>165</v>
      </c>
      <c r="F28" s="81">
        <v>0.03</v>
      </c>
      <c r="G28" s="81">
        <v>0</v>
      </c>
    </row>
    <row r="29" spans="1:7" x14ac:dyDescent="0.3">
      <c r="A29" t="s">
        <v>49</v>
      </c>
      <c r="B29">
        <f>_xlfn.XLOOKUP(A29,'Financials &amp; Productivity'!A:A,'Financials &amp; Productivity'!B:B)</f>
        <v>2025</v>
      </c>
      <c r="C29" s="109">
        <f>_xlfn.XLOOKUP(A29,'Financials &amp; Productivity'!A:A,'Financials &amp; Productivity'!C:C)</f>
        <v>45839</v>
      </c>
      <c r="D29" t="s">
        <v>100</v>
      </c>
      <c r="E29" t="s">
        <v>165</v>
      </c>
      <c r="F29" s="81">
        <v>0.03</v>
      </c>
      <c r="G29" s="81">
        <v>0</v>
      </c>
    </row>
    <row r="30" spans="1:7" x14ac:dyDescent="0.3">
      <c r="A30" t="s">
        <v>50</v>
      </c>
      <c r="B30">
        <f>_xlfn.XLOOKUP(A30,'Financials &amp; Productivity'!A:A,'Financials &amp; Productivity'!B:B)</f>
        <v>2025</v>
      </c>
      <c r="C30" s="109">
        <f>_xlfn.XLOOKUP(A30,'Financials &amp; Productivity'!A:A,'Financials &amp; Productivity'!C:C)</f>
        <v>45870</v>
      </c>
      <c r="D30" t="s">
        <v>100</v>
      </c>
      <c r="E30" t="s">
        <v>165</v>
      </c>
      <c r="F30" s="81">
        <v>0.03</v>
      </c>
      <c r="G30" s="81">
        <v>0</v>
      </c>
    </row>
    <row r="31" spans="1:7" x14ac:dyDescent="0.3">
      <c r="A31" t="s">
        <v>51</v>
      </c>
      <c r="B31">
        <f>_xlfn.XLOOKUP(A31,'Financials &amp; Productivity'!A:A,'Financials &amp; Productivity'!B:B)</f>
        <v>2025</v>
      </c>
      <c r="C31" s="109">
        <f>_xlfn.XLOOKUP(A31,'Financials &amp; Productivity'!A:A,'Financials &amp; Productivity'!C:C)</f>
        <v>45901</v>
      </c>
      <c r="D31" t="s">
        <v>100</v>
      </c>
      <c r="E31" t="s">
        <v>165</v>
      </c>
      <c r="F31" s="81">
        <v>0.04</v>
      </c>
      <c r="G31" s="81">
        <v>0</v>
      </c>
    </row>
    <row r="32" spans="1:7" x14ac:dyDescent="0.3">
      <c r="A32" t="s">
        <v>52</v>
      </c>
      <c r="B32">
        <f>_xlfn.XLOOKUP(A32,'Financials &amp; Productivity'!A:A,'Financials &amp; Productivity'!B:B)</f>
        <v>2025</v>
      </c>
      <c r="C32" s="109">
        <f>_xlfn.XLOOKUP(A32,'Financials &amp; Productivity'!A:A,'Financials &amp; Productivity'!C:C)</f>
        <v>45931</v>
      </c>
      <c r="D32" t="s">
        <v>100</v>
      </c>
      <c r="E32" t="s">
        <v>165</v>
      </c>
      <c r="F32" s="81">
        <v>0.06</v>
      </c>
      <c r="G32" s="81">
        <v>0</v>
      </c>
    </row>
    <row r="33" spans="1:7" x14ac:dyDescent="0.3">
      <c r="A33" t="s">
        <v>53</v>
      </c>
      <c r="B33">
        <f>_xlfn.XLOOKUP(A33,'Financials &amp; Productivity'!A:A,'Financials &amp; Productivity'!B:B)</f>
        <v>2025</v>
      </c>
      <c r="C33" s="109">
        <f>_xlfn.XLOOKUP(A33,'Financials &amp; Productivity'!A:A,'Financials &amp; Productivity'!C:C)</f>
        <v>45962</v>
      </c>
      <c r="D33" t="s">
        <v>100</v>
      </c>
      <c r="E33" t="s">
        <v>165</v>
      </c>
      <c r="F33" s="81">
        <v>0.02</v>
      </c>
      <c r="G33" s="81">
        <v>0</v>
      </c>
    </row>
    <row r="34" spans="1:7" x14ac:dyDescent="0.3">
      <c r="A34" t="s">
        <v>54</v>
      </c>
      <c r="B34">
        <f>_xlfn.XLOOKUP(A34,'Financials &amp; Productivity'!A:A,'Financials &amp; Productivity'!B:B)</f>
        <v>2025</v>
      </c>
      <c r="C34" s="109">
        <f>_xlfn.XLOOKUP(A34,'Financials &amp; Productivity'!A:A,'Financials &amp; Productivity'!C:C)</f>
        <v>45992</v>
      </c>
      <c r="D34" t="s">
        <v>100</v>
      </c>
      <c r="E34" t="s">
        <v>165</v>
      </c>
      <c r="F34" s="81">
        <v>0.02</v>
      </c>
      <c r="G34" s="81">
        <v>0</v>
      </c>
    </row>
    <row r="35" spans="1:7" x14ac:dyDescent="0.3">
      <c r="A35" t="s">
        <v>56</v>
      </c>
      <c r="B35">
        <f>_xlfn.XLOOKUP(A35,'Financials &amp; Productivity'!A:A,'Financials &amp; Productivity'!B:B)</f>
        <v>2026</v>
      </c>
      <c r="C35" s="109">
        <f>_xlfn.XLOOKUP(A35,'Financials &amp; Productivity'!A:A,'Financials &amp; Productivity'!C:C)</f>
        <v>46023</v>
      </c>
      <c r="D35" t="s">
        <v>100</v>
      </c>
      <c r="E35" t="s">
        <v>165</v>
      </c>
      <c r="F35" s="81">
        <v>0</v>
      </c>
      <c r="G35" s="81">
        <v>0</v>
      </c>
    </row>
    <row r="36" spans="1:7" x14ac:dyDescent="0.3">
      <c r="A36" t="s">
        <v>57</v>
      </c>
      <c r="B36">
        <f>_xlfn.XLOOKUP(A36,'Financials &amp; Productivity'!A:A,'Financials &amp; Productivity'!B:B)</f>
        <v>2026</v>
      </c>
      <c r="C36" s="109">
        <f>_xlfn.XLOOKUP(A36,'Financials &amp; Productivity'!A:A,'Financials &amp; Productivity'!C:C)</f>
        <v>46054</v>
      </c>
      <c r="D36" t="s">
        <v>100</v>
      </c>
      <c r="E36" t="s">
        <v>165</v>
      </c>
      <c r="F36" s="81">
        <v>0</v>
      </c>
      <c r="G36" s="81">
        <v>0</v>
      </c>
    </row>
    <row r="37" spans="1:7" x14ac:dyDescent="0.3">
      <c r="A37" t="s">
        <v>58</v>
      </c>
      <c r="B37">
        <f>_xlfn.XLOOKUP(A37,'Financials &amp; Productivity'!A:A,'Financials &amp; Productivity'!B:B)</f>
        <v>2026</v>
      </c>
      <c r="C37" s="109">
        <f>_xlfn.XLOOKUP(A37,'Financials &amp; Productivity'!A:A,'Financials &amp; Productivity'!C:C)</f>
        <v>46082</v>
      </c>
      <c r="D37" t="s">
        <v>100</v>
      </c>
      <c r="E37" t="s">
        <v>165</v>
      </c>
      <c r="F37" s="81">
        <v>0</v>
      </c>
      <c r="G37" s="81">
        <v>0</v>
      </c>
    </row>
  </sheetData>
  <autoFilter ref="A1:G37" xr:uid="{ECB02468-06DD-4CD2-BBF0-103A38B32E9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17B6-3D54-4FBF-93E2-97A59B5FC52C}">
  <dimension ref="A1:M25"/>
  <sheetViews>
    <sheetView workbookViewId="0"/>
  </sheetViews>
  <sheetFormatPr defaultRowHeight="14.4" x14ac:dyDescent="0.3"/>
  <cols>
    <col min="1" max="1" width="13.77734375" bestFit="1" customWidth="1"/>
    <col min="2" max="2" width="11.33203125" bestFit="1" customWidth="1"/>
    <col min="3" max="3" width="9" bestFit="1" customWidth="1"/>
    <col min="4" max="4" width="13.33203125" bestFit="1" customWidth="1"/>
    <col min="5" max="5" width="9.33203125" bestFit="1" customWidth="1"/>
    <col min="6" max="6" width="13.44140625" style="11" bestFit="1" customWidth="1"/>
    <col min="7" max="7" width="18.6640625" bestFit="1" customWidth="1"/>
    <col min="8" max="8" width="20.109375" bestFit="1" customWidth="1"/>
    <col min="9" max="9" width="14" bestFit="1" customWidth="1"/>
    <col min="10" max="10" width="10.109375" style="46" bestFit="1" customWidth="1"/>
  </cols>
  <sheetData>
    <row r="1" spans="1:13" x14ac:dyDescent="0.3">
      <c r="A1" s="104" t="s">
        <v>127</v>
      </c>
      <c r="B1" s="104" t="s">
        <v>96</v>
      </c>
      <c r="C1" s="104" t="s">
        <v>164</v>
      </c>
      <c r="D1" s="104" t="s">
        <v>110</v>
      </c>
      <c r="E1" s="104" t="s">
        <v>111</v>
      </c>
      <c r="F1" s="107" t="s">
        <v>128</v>
      </c>
      <c r="G1" s="104" t="s">
        <v>129</v>
      </c>
      <c r="H1" s="104" t="s">
        <v>130</v>
      </c>
      <c r="I1" s="104" t="s">
        <v>131</v>
      </c>
      <c r="J1" s="105" t="s">
        <v>168</v>
      </c>
    </row>
    <row r="2" spans="1:13" x14ac:dyDescent="0.3">
      <c r="A2" t="s">
        <v>132</v>
      </c>
      <c r="B2" t="s">
        <v>94</v>
      </c>
      <c r="C2" t="s">
        <v>165</v>
      </c>
      <c r="D2" t="s">
        <v>112</v>
      </c>
      <c r="E2" t="s">
        <v>113</v>
      </c>
      <c r="F2" s="11" t="s">
        <v>114</v>
      </c>
      <c r="G2" t="s">
        <v>115</v>
      </c>
      <c r="H2" t="s">
        <v>116</v>
      </c>
      <c r="I2">
        <v>2</v>
      </c>
      <c r="J2" s="46">
        <f>_xlfn.XLOOKUP(D2,$L$2:$L$5,$M$2:$M$5)</f>
        <v>35000</v>
      </c>
      <c r="L2" t="s">
        <v>112</v>
      </c>
      <c r="M2">
        <v>35000</v>
      </c>
    </row>
    <row r="3" spans="1:13" x14ac:dyDescent="0.3">
      <c r="A3" t="s">
        <v>133</v>
      </c>
      <c r="B3" t="s">
        <v>94</v>
      </c>
      <c r="C3" t="s">
        <v>165</v>
      </c>
      <c r="D3" t="s">
        <v>112</v>
      </c>
      <c r="E3" t="s">
        <v>117</v>
      </c>
      <c r="F3" s="11" t="s">
        <v>114</v>
      </c>
      <c r="G3" t="s">
        <v>118</v>
      </c>
      <c r="H3" t="s">
        <v>119</v>
      </c>
      <c r="I3">
        <v>1</v>
      </c>
      <c r="J3" s="46">
        <f t="shared" ref="J3:J25" si="0">_xlfn.XLOOKUP(D3,$L$2:$L$5,$M$2:$M$5)</f>
        <v>35000</v>
      </c>
      <c r="L3" t="s">
        <v>120</v>
      </c>
      <c r="M3">
        <v>45000</v>
      </c>
    </row>
    <row r="4" spans="1:13" x14ac:dyDescent="0.3">
      <c r="A4" t="s">
        <v>134</v>
      </c>
      <c r="B4" t="s">
        <v>94</v>
      </c>
      <c r="C4" t="s">
        <v>165</v>
      </c>
      <c r="D4" t="s">
        <v>120</v>
      </c>
      <c r="E4" t="s">
        <v>113</v>
      </c>
      <c r="F4" s="11" t="s">
        <v>121</v>
      </c>
      <c r="G4" t="s">
        <v>115</v>
      </c>
      <c r="H4" t="s">
        <v>122</v>
      </c>
      <c r="I4">
        <v>5</v>
      </c>
      <c r="J4" s="46">
        <f t="shared" si="0"/>
        <v>45000</v>
      </c>
      <c r="L4" t="s">
        <v>123</v>
      </c>
      <c r="M4">
        <v>55000</v>
      </c>
    </row>
    <row r="5" spans="1:13" x14ac:dyDescent="0.3">
      <c r="A5" t="s">
        <v>135</v>
      </c>
      <c r="B5" t="s">
        <v>94</v>
      </c>
      <c r="C5" t="s">
        <v>165</v>
      </c>
      <c r="D5" t="s">
        <v>123</v>
      </c>
      <c r="E5" t="s">
        <v>117</v>
      </c>
      <c r="F5" s="11" t="s">
        <v>124</v>
      </c>
      <c r="G5" t="s">
        <v>115</v>
      </c>
      <c r="H5" t="s">
        <v>116</v>
      </c>
      <c r="I5">
        <v>10</v>
      </c>
      <c r="J5" s="46">
        <f t="shared" si="0"/>
        <v>55000</v>
      </c>
      <c r="L5" t="s">
        <v>125</v>
      </c>
      <c r="M5">
        <v>40000</v>
      </c>
    </row>
    <row r="6" spans="1:13" x14ac:dyDescent="0.3">
      <c r="A6" t="s">
        <v>136</v>
      </c>
      <c r="B6" t="s">
        <v>94</v>
      </c>
      <c r="C6" t="s">
        <v>165</v>
      </c>
      <c r="D6" t="s">
        <v>125</v>
      </c>
      <c r="E6" t="s">
        <v>113</v>
      </c>
      <c r="F6" s="11" t="s">
        <v>114</v>
      </c>
      <c r="G6" t="s">
        <v>115</v>
      </c>
      <c r="H6" t="s">
        <v>122</v>
      </c>
      <c r="I6">
        <v>3</v>
      </c>
      <c r="J6" s="46">
        <f t="shared" si="0"/>
        <v>40000</v>
      </c>
    </row>
    <row r="7" spans="1:13" x14ac:dyDescent="0.3">
      <c r="A7" t="s">
        <v>137</v>
      </c>
      <c r="B7" t="s">
        <v>94</v>
      </c>
      <c r="C7" t="s">
        <v>165</v>
      </c>
      <c r="D7" t="s">
        <v>112</v>
      </c>
      <c r="E7" t="s">
        <v>113</v>
      </c>
      <c r="F7" s="11" t="s">
        <v>126</v>
      </c>
      <c r="G7" t="s">
        <v>118</v>
      </c>
      <c r="H7" t="s">
        <v>116</v>
      </c>
      <c r="I7">
        <v>1</v>
      </c>
      <c r="J7" s="46">
        <f t="shared" si="0"/>
        <v>35000</v>
      </c>
    </row>
    <row r="8" spans="1:13" x14ac:dyDescent="0.3">
      <c r="A8" t="s">
        <v>138</v>
      </c>
      <c r="B8" t="s">
        <v>94</v>
      </c>
      <c r="C8" t="s">
        <v>165</v>
      </c>
      <c r="D8" t="s">
        <v>120</v>
      </c>
      <c r="E8" t="s">
        <v>117</v>
      </c>
      <c r="F8" s="11" t="s">
        <v>121</v>
      </c>
      <c r="G8" t="s">
        <v>115</v>
      </c>
      <c r="H8" t="s">
        <v>116</v>
      </c>
      <c r="I8">
        <v>4</v>
      </c>
      <c r="J8" s="46">
        <f t="shared" si="0"/>
        <v>45000</v>
      </c>
    </row>
    <row r="9" spans="1:13" x14ac:dyDescent="0.3">
      <c r="A9" t="s">
        <v>139</v>
      </c>
      <c r="B9" t="s">
        <v>94</v>
      </c>
      <c r="C9" t="s">
        <v>165</v>
      </c>
      <c r="D9" t="s">
        <v>112</v>
      </c>
      <c r="E9" t="s">
        <v>113</v>
      </c>
      <c r="F9" s="11" t="s">
        <v>114</v>
      </c>
      <c r="G9" t="s">
        <v>115</v>
      </c>
      <c r="H9" t="s">
        <v>119</v>
      </c>
      <c r="I9">
        <v>2</v>
      </c>
      <c r="J9" s="46">
        <f t="shared" si="0"/>
        <v>35000</v>
      </c>
    </row>
    <row r="10" spans="1:13" x14ac:dyDescent="0.3">
      <c r="A10" t="s">
        <v>140</v>
      </c>
      <c r="B10" t="s">
        <v>94</v>
      </c>
      <c r="C10" t="s">
        <v>165</v>
      </c>
      <c r="D10" t="s">
        <v>123</v>
      </c>
      <c r="E10" t="s">
        <v>113</v>
      </c>
      <c r="F10" s="11" t="s">
        <v>124</v>
      </c>
      <c r="G10" t="s">
        <v>115</v>
      </c>
      <c r="H10" t="s">
        <v>122</v>
      </c>
      <c r="I10">
        <v>8</v>
      </c>
      <c r="J10" s="46">
        <f t="shared" si="0"/>
        <v>55000</v>
      </c>
    </row>
    <row r="11" spans="1:13" x14ac:dyDescent="0.3">
      <c r="A11" t="s">
        <v>141</v>
      </c>
      <c r="B11" t="s">
        <v>94</v>
      </c>
      <c r="C11" t="s">
        <v>165</v>
      </c>
      <c r="D11" t="s">
        <v>125</v>
      </c>
      <c r="E11" t="s">
        <v>117</v>
      </c>
      <c r="F11" s="11" t="s">
        <v>114</v>
      </c>
      <c r="G11" t="s">
        <v>118</v>
      </c>
      <c r="H11" t="s">
        <v>116</v>
      </c>
      <c r="I11">
        <v>2</v>
      </c>
      <c r="J11" s="46">
        <f t="shared" si="0"/>
        <v>40000</v>
      </c>
    </row>
    <row r="12" spans="1:13" x14ac:dyDescent="0.3">
      <c r="A12" t="s">
        <v>142</v>
      </c>
      <c r="B12" t="s">
        <v>99</v>
      </c>
      <c r="C12" t="s">
        <v>165</v>
      </c>
      <c r="D12" t="s">
        <v>112</v>
      </c>
      <c r="E12" t="s">
        <v>117</v>
      </c>
      <c r="F12" s="11" t="s">
        <v>114</v>
      </c>
      <c r="G12" t="s">
        <v>115</v>
      </c>
      <c r="H12" t="s">
        <v>116</v>
      </c>
      <c r="I12">
        <v>4</v>
      </c>
      <c r="J12" s="46">
        <f t="shared" si="0"/>
        <v>35000</v>
      </c>
    </row>
    <row r="13" spans="1:13" x14ac:dyDescent="0.3">
      <c r="A13" t="s">
        <v>143</v>
      </c>
      <c r="B13" t="s">
        <v>99</v>
      </c>
      <c r="C13" t="s">
        <v>165</v>
      </c>
      <c r="D13" t="s">
        <v>120</v>
      </c>
      <c r="E13" t="s">
        <v>113</v>
      </c>
      <c r="F13" s="11" t="s">
        <v>121</v>
      </c>
      <c r="G13" t="s">
        <v>118</v>
      </c>
      <c r="H13" t="s">
        <v>119</v>
      </c>
      <c r="I13">
        <v>1</v>
      </c>
      <c r="J13" s="46">
        <f t="shared" si="0"/>
        <v>45000</v>
      </c>
    </row>
    <row r="14" spans="1:13" x14ac:dyDescent="0.3">
      <c r="A14" t="s">
        <v>144</v>
      </c>
      <c r="B14" t="s">
        <v>99</v>
      </c>
      <c r="C14" t="s">
        <v>165</v>
      </c>
      <c r="D14" t="s">
        <v>125</v>
      </c>
      <c r="E14" t="s">
        <v>117</v>
      </c>
      <c r="F14" s="11" t="s">
        <v>114</v>
      </c>
      <c r="G14" t="s">
        <v>115</v>
      </c>
      <c r="H14" t="s">
        <v>122</v>
      </c>
      <c r="I14">
        <v>3</v>
      </c>
      <c r="J14" s="46">
        <f t="shared" si="0"/>
        <v>40000</v>
      </c>
    </row>
    <row r="15" spans="1:13" x14ac:dyDescent="0.3">
      <c r="A15" t="s">
        <v>145</v>
      </c>
      <c r="B15" t="s">
        <v>99</v>
      </c>
      <c r="C15" t="s">
        <v>165</v>
      </c>
      <c r="D15" t="s">
        <v>112</v>
      </c>
      <c r="E15" t="s">
        <v>113</v>
      </c>
      <c r="F15" s="11" t="s">
        <v>126</v>
      </c>
      <c r="G15" t="s">
        <v>118</v>
      </c>
      <c r="H15" t="s">
        <v>116</v>
      </c>
      <c r="I15">
        <v>1</v>
      </c>
      <c r="J15" s="46">
        <f t="shared" si="0"/>
        <v>35000</v>
      </c>
    </row>
    <row r="16" spans="1:13" x14ac:dyDescent="0.3">
      <c r="A16" t="s">
        <v>146</v>
      </c>
      <c r="B16" t="s">
        <v>99</v>
      </c>
      <c r="C16" t="s">
        <v>165</v>
      </c>
      <c r="D16" t="s">
        <v>123</v>
      </c>
      <c r="E16" t="s">
        <v>117</v>
      </c>
      <c r="F16" s="11" t="s">
        <v>121</v>
      </c>
      <c r="G16" t="s">
        <v>115</v>
      </c>
      <c r="H16" t="s">
        <v>116</v>
      </c>
      <c r="I16">
        <v>6</v>
      </c>
      <c r="J16" s="46">
        <f t="shared" si="0"/>
        <v>55000</v>
      </c>
    </row>
    <row r="17" spans="1:10" x14ac:dyDescent="0.3">
      <c r="A17" t="s">
        <v>147</v>
      </c>
      <c r="B17" t="s">
        <v>99</v>
      </c>
      <c r="C17" t="s">
        <v>165</v>
      </c>
      <c r="D17" t="s">
        <v>112</v>
      </c>
      <c r="E17" t="s">
        <v>113</v>
      </c>
      <c r="F17" s="11" t="s">
        <v>114</v>
      </c>
      <c r="G17" t="s">
        <v>115</v>
      </c>
      <c r="H17" t="s">
        <v>119</v>
      </c>
      <c r="I17">
        <v>2</v>
      </c>
      <c r="J17" s="46">
        <f t="shared" si="0"/>
        <v>35000</v>
      </c>
    </row>
    <row r="18" spans="1:10" x14ac:dyDescent="0.3">
      <c r="A18" t="s">
        <v>148</v>
      </c>
      <c r="B18" t="s">
        <v>99</v>
      </c>
      <c r="C18" t="s">
        <v>165</v>
      </c>
      <c r="D18" t="s">
        <v>120</v>
      </c>
      <c r="E18" t="s">
        <v>117</v>
      </c>
      <c r="F18" s="11" t="s">
        <v>114</v>
      </c>
      <c r="G18" t="s">
        <v>118</v>
      </c>
      <c r="H18" t="s">
        <v>116</v>
      </c>
      <c r="I18">
        <v>1</v>
      </c>
      <c r="J18" s="46">
        <f t="shared" si="0"/>
        <v>45000</v>
      </c>
    </row>
    <row r="19" spans="1:10" x14ac:dyDescent="0.3">
      <c r="A19" t="s">
        <v>149</v>
      </c>
      <c r="B19" t="s">
        <v>99</v>
      </c>
      <c r="C19" t="s">
        <v>165</v>
      </c>
      <c r="D19" t="s">
        <v>120</v>
      </c>
      <c r="E19" t="s">
        <v>113</v>
      </c>
      <c r="F19" s="11" t="s">
        <v>121</v>
      </c>
      <c r="G19" t="s">
        <v>115</v>
      </c>
      <c r="H19" t="s">
        <v>122</v>
      </c>
      <c r="I19">
        <v>5</v>
      </c>
      <c r="J19" s="46">
        <f t="shared" si="0"/>
        <v>45000</v>
      </c>
    </row>
    <row r="20" spans="1:10" x14ac:dyDescent="0.3">
      <c r="A20" t="s">
        <v>150</v>
      </c>
      <c r="B20" t="s">
        <v>100</v>
      </c>
      <c r="C20" t="s">
        <v>165</v>
      </c>
      <c r="D20" t="s">
        <v>112</v>
      </c>
      <c r="E20" t="s">
        <v>113</v>
      </c>
      <c r="F20" s="11" t="s">
        <v>126</v>
      </c>
      <c r="G20" t="s">
        <v>118</v>
      </c>
      <c r="H20" t="s">
        <v>116</v>
      </c>
      <c r="I20">
        <v>1</v>
      </c>
      <c r="J20" s="46">
        <f t="shared" si="0"/>
        <v>35000</v>
      </c>
    </row>
    <row r="21" spans="1:10" x14ac:dyDescent="0.3">
      <c r="A21" t="s">
        <v>151</v>
      </c>
      <c r="B21" t="s">
        <v>100</v>
      </c>
      <c r="C21" t="s">
        <v>165</v>
      </c>
      <c r="D21" t="s">
        <v>125</v>
      </c>
      <c r="E21" t="s">
        <v>117</v>
      </c>
      <c r="F21" s="11" t="s">
        <v>121</v>
      </c>
      <c r="G21" t="s">
        <v>115</v>
      </c>
      <c r="H21" t="s">
        <v>122</v>
      </c>
      <c r="I21">
        <v>6</v>
      </c>
      <c r="J21" s="46">
        <f t="shared" si="0"/>
        <v>40000</v>
      </c>
    </row>
    <row r="22" spans="1:10" x14ac:dyDescent="0.3">
      <c r="A22" t="s">
        <v>152</v>
      </c>
      <c r="B22" t="s">
        <v>100</v>
      </c>
      <c r="C22" t="s">
        <v>165</v>
      </c>
      <c r="D22" t="s">
        <v>120</v>
      </c>
      <c r="E22" t="s">
        <v>113</v>
      </c>
      <c r="F22" s="11" t="s">
        <v>114</v>
      </c>
      <c r="G22" t="s">
        <v>118</v>
      </c>
      <c r="H22" t="s">
        <v>119</v>
      </c>
      <c r="I22">
        <v>1</v>
      </c>
      <c r="J22" s="46">
        <f t="shared" si="0"/>
        <v>45000</v>
      </c>
    </row>
    <row r="23" spans="1:10" x14ac:dyDescent="0.3">
      <c r="A23" t="s">
        <v>153</v>
      </c>
      <c r="B23" t="s">
        <v>100</v>
      </c>
      <c r="C23" t="s">
        <v>165</v>
      </c>
      <c r="D23" t="s">
        <v>112</v>
      </c>
      <c r="E23" t="s">
        <v>117</v>
      </c>
      <c r="F23" s="11" t="s">
        <v>114</v>
      </c>
      <c r="G23" t="s">
        <v>115</v>
      </c>
      <c r="H23" t="s">
        <v>116</v>
      </c>
      <c r="I23">
        <v>2</v>
      </c>
      <c r="J23" s="46">
        <f t="shared" si="0"/>
        <v>35000</v>
      </c>
    </row>
    <row r="24" spans="1:10" x14ac:dyDescent="0.3">
      <c r="A24" t="s">
        <v>154</v>
      </c>
      <c r="B24" t="s">
        <v>100</v>
      </c>
      <c r="C24" t="s">
        <v>165</v>
      </c>
      <c r="D24" t="s">
        <v>123</v>
      </c>
      <c r="E24" t="s">
        <v>113</v>
      </c>
      <c r="F24" s="11" t="s">
        <v>124</v>
      </c>
      <c r="G24" t="s">
        <v>115</v>
      </c>
      <c r="H24" t="s">
        <v>122</v>
      </c>
      <c r="I24">
        <v>8</v>
      </c>
      <c r="J24" s="46">
        <f t="shared" si="0"/>
        <v>55000</v>
      </c>
    </row>
    <row r="25" spans="1:10" x14ac:dyDescent="0.3">
      <c r="A25" t="s">
        <v>155</v>
      </c>
      <c r="B25" t="s">
        <v>100</v>
      </c>
      <c r="C25" t="s">
        <v>165</v>
      </c>
      <c r="D25" t="s">
        <v>120</v>
      </c>
      <c r="E25" t="s">
        <v>113</v>
      </c>
      <c r="F25" s="11" t="s">
        <v>114</v>
      </c>
      <c r="G25" t="s">
        <v>118</v>
      </c>
      <c r="H25" t="s">
        <v>116</v>
      </c>
      <c r="I25">
        <v>1</v>
      </c>
      <c r="J25" s="46">
        <f t="shared" si="0"/>
        <v>45000</v>
      </c>
    </row>
  </sheetData>
  <autoFilter ref="A1:J25" xr:uid="{51CF17B6-3D54-4FBF-93E2-97A59B5FC52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77A6-6928-4B36-8EA6-1BB20138E73F}">
  <dimension ref="A1:P37"/>
  <sheetViews>
    <sheetView workbookViewId="0"/>
  </sheetViews>
  <sheetFormatPr defaultRowHeight="14.4" x14ac:dyDescent="0.3"/>
  <cols>
    <col min="1" max="1" width="9.77734375" bestFit="1" customWidth="1"/>
    <col min="2" max="2" width="9.77734375" customWidth="1"/>
    <col min="3" max="3" width="9.77734375" style="109" customWidth="1"/>
    <col min="4" max="4" width="9.109375" bestFit="1" customWidth="1"/>
    <col min="5" max="5" width="9.109375" customWidth="1"/>
    <col min="6" max="6" width="23.109375" bestFit="1" customWidth="1"/>
    <col min="7" max="7" width="18.33203125" bestFit="1" customWidth="1"/>
    <col min="8" max="8" width="24.77734375" bestFit="1" customWidth="1"/>
    <col min="9" max="9" width="24.77734375" customWidth="1"/>
    <col min="10" max="10" width="24.21875" bestFit="1" customWidth="1"/>
    <col min="11" max="11" width="16.44140625" bestFit="1" customWidth="1"/>
    <col min="12" max="12" width="20.21875" bestFit="1" customWidth="1"/>
    <col min="13" max="13" width="14" bestFit="1" customWidth="1"/>
    <col min="14" max="14" width="16.44140625" bestFit="1" customWidth="1"/>
  </cols>
  <sheetData>
    <row r="1" spans="1:16" ht="13.2" customHeight="1" x14ac:dyDescent="0.3">
      <c r="A1" s="104" t="s">
        <v>95</v>
      </c>
      <c r="B1" s="104" t="s">
        <v>166</v>
      </c>
      <c r="C1" s="110" t="s">
        <v>167</v>
      </c>
      <c r="D1" s="104" t="s">
        <v>96</v>
      </c>
      <c r="E1" s="104" t="s">
        <v>164</v>
      </c>
      <c r="F1" s="104" t="s">
        <v>169</v>
      </c>
      <c r="G1" s="104" t="s">
        <v>170</v>
      </c>
      <c r="H1" s="104" t="s">
        <v>171</v>
      </c>
      <c r="I1" s="104" t="s">
        <v>172</v>
      </c>
      <c r="J1" s="104" t="s">
        <v>161</v>
      </c>
      <c r="K1" s="104" t="s">
        <v>162</v>
      </c>
      <c r="L1" s="104" t="s">
        <v>163</v>
      </c>
      <c r="M1" s="104" t="s">
        <v>105</v>
      </c>
      <c r="N1" s="104" t="s">
        <v>106</v>
      </c>
    </row>
    <row r="2" spans="1:16" x14ac:dyDescent="0.3">
      <c r="A2" t="s">
        <v>40</v>
      </c>
      <c r="B2">
        <f>_xlfn.XLOOKUP(A2,'Financials &amp; Productivity'!A:A,'Financials &amp; Productivity'!B:B)</f>
        <v>2025</v>
      </c>
      <c r="C2" s="109">
        <f>_xlfn.XLOOKUP(A2,'Financials &amp; Productivity'!A:A,'Financials &amp; Productivity'!C:C)</f>
        <v>45748</v>
      </c>
      <c r="D2" t="s">
        <v>94</v>
      </c>
      <c r="E2" t="s">
        <v>165</v>
      </c>
      <c r="F2">
        <v>0</v>
      </c>
      <c r="G2">
        <v>2</v>
      </c>
      <c r="H2">
        <v>0</v>
      </c>
      <c r="I2">
        <f>SUM(F2:H2)</f>
        <v>2</v>
      </c>
      <c r="J2">
        <v>0</v>
      </c>
      <c r="K2">
        <v>3</v>
      </c>
      <c r="L2">
        <v>1</v>
      </c>
      <c r="M2">
        <v>0</v>
      </c>
      <c r="N2">
        <v>0</v>
      </c>
    </row>
    <row r="3" spans="1:16" x14ac:dyDescent="0.3">
      <c r="A3" t="s">
        <v>61</v>
      </c>
      <c r="B3">
        <f>_xlfn.XLOOKUP(A3,'Financials &amp; Productivity'!A:A,'Financials &amp; Productivity'!B:B)</f>
        <v>2025</v>
      </c>
      <c r="C3" s="109">
        <f>_xlfn.XLOOKUP(A3,'Financials &amp; Productivity'!A:A,'Financials &amp; Productivity'!C:C)</f>
        <v>45778</v>
      </c>
      <c r="D3" t="s">
        <v>94</v>
      </c>
      <c r="E3" t="s">
        <v>165</v>
      </c>
      <c r="F3">
        <v>0</v>
      </c>
      <c r="G3">
        <v>2</v>
      </c>
      <c r="H3">
        <v>1</v>
      </c>
      <c r="I3">
        <f t="shared" ref="I3:I37" si="0">SUM(F3:H3)</f>
        <v>3</v>
      </c>
      <c r="J3">
        <v>0</v>
      </c>
      <c r="K3">
        <v>4</v>
      </c>
      <c r="L3">
        <v>1</v>
      </c>
      <c r="M3">
        <v>0</v>
      </c>
      <c r="N3">
        <v>0</v>
      </c>
    </row>
    <row r="4" spans="1:16" x14ac:dyDescent="0.3">
      <c r="A4" t="s">
        <v>62</v>
      </c>
      <c r="B4">
        <f>_xlfn.XLOOKUP(A4,'Financials &amp; Productivity'!A:A,'Financials &amp; Productivity'!B:B)</f>
        <v>2025</v>
      </c>
      <c r="C4" s="109">
        <f>_xlfn.XLOOKUP(A4,'Financials &amp; Productivity'!A:A,'Financials &amp; Productivity'!C:C)</f>
        <v>45809</v>
      </c>
      <c r="D4" t="s">
        <v>94</v>
      </c>
      <c r="E4" t="s">
        <v>165</v>
      </c>
      <c r="F4">
        <v>1</v>
      </c>
      <c r="G4">
        <v>2</v>
      </c>
      <c r="H4">
        <v>1</v>
      </c>
      <c r="I4">
        <f t="shared" si="0"/>
        <v>4</v>
      </c>
      <c r="J4">
        <v>1</v>
      </c>
      <c r="K4">
        <v>5</v>
      </c>
      <c r="L4">
        <v>2</v>
      </c>
      <c r="M4">
        <v>0</v>
      </c>
      <c r="N4">
        <v>0</v>
      </c>
      <c r="P4" s="81"/>
    </row>
    <row r="5" spans="1:16" x14ac:dyDescent="0.3">
      <c r="A5" t="s">
        <v>49</v>
      </c>
      <c r="B5">
        <f>_xlfn.XLOOKUP(A5,'Financials &amp; Productivity'!A:A,'Financials &amp; Productivity'!B:B)</f>
        <v>2025</v>
      </c>
      <c r="C5" s="109">
        <f>_xlfn.XLOOKUP(A5,'Financials &amp; Productivity'!A:A,'Financials &amp; Productivity'!C:C)</f>
        <v>45839</v>
      </c>
      <c r="D5" t="s">
        <v>94</v>
      </c>
      <c r="E5" t="s">
        <v>165</v>
      </c>
      <c r="F5">
        <v>0</v>
      </c>
      <c r="G5">
        <v>2</v>
      </c>
      <c r="H5">
        <v>1</v>
      </c>
      <c r="I5">
        <f t="shared" si="0"/>
        <v>3</v>
      </c>
      <c r="J5">
        <v>0</v>
      </c>
      <c r="K5">
        <v>4</v>
      </c>
      <c r="L5">
        <v>1</v>
      </c>
      <c r="M5">
        <v>0</v>
      </c>
      <c r="N5">
        <v>0</v>
      </c>
    </row>
    <row r="6" spans="1:16" x14ac:dyDescent="0.3">
      <c r="A6" t="s">
        <v>50</v>
      </c>
      <c r="B6">
        <f>_xlfn.XLOOKUP(A6,'Financials &amp; Productivity'!A:A,'Financials &amp; Productivity'!B:B)</f>
        <v>2025</v>
      </c>
      <c r="C6" s="109">
        <f>_xlfn.XLOOKUP(A6,'Financials &amp; Productivity'!A:A,'Financials &amp; Productivity'!C:C)</f>
        <v>45870</v>
      </c>
      <c r="D6" t="s">
        <v>94</v>
      </c>
      <c r="E6" t="s">
        <v>165</v>
      </c>
      <c r="F6">
        <v>1</v>
      </c>
      <c r="G6">
        <v>2</v>
      </c>
      <c r="H6">
        <v>1</v>
      </c>
      <c r="I6">
        <f t="shared" si="0"/>
        <v>4</v>
      </c>
      <c r="J6">
        <v>0</v>
      </c>
      <c r="K6">
        <v>5</v>
      </c>
      <c r="L6">
        <v>2</v>
      </c>
      <c r="M6">
        <v>25</v>
      </c>
      <c r="N6">
        <v>10</v>
      </c>
    </row>
    <row r="7" spans="1:16" x14ac:dyDescent="0.3">
      <c r="A7" t="s">
        <v>51</v>
      </c>
      <c r="B7">
        <f>_xlfn.XLOOKUP(A7,'Financials &amp; Productivity'!A:A,'Financials &amp; Productivity'!B:B)</f>
        <v>2025</v>
      </c>
      <c r="C7" s="109">
        <f>_xlfn.XLOOKUP(A7,'Financials &amp; Productivity'!A:A,'Financials &amp; Productivity'!C:C)</f>
        <v>45901</v>
      </c>
      <c r="D7" t="s">
        <v>94</v>
      </c>
      <c r="E7" t="s">
        <v>165</v>
      </c>
      <c r="F7">
        <v>1</v>
      </c>
      <c r="G7">
        <v>1</v>
      </c>
      <c r="H7">
        <v>1</v>
      </c>
      <c r="I7">
        <f t="shared" si="0"/>
        <v>3</v>
      </c>
      <c r="J7">
        <v>0</v>
      </c>
      <c r="K7">
        <v>4</v>
      </c>
      <c r="L7">
        <v>1</v>
      </c>
      <c r="M7">
        <v>15</v>
      </c>
      <c r="N7">
        <v>3</v>
      </c>
    </row>
    <row r="8" spans="1:16" x14ac:dyDescent="0.3">
      <c r="A8" t="s">
        <v>52</v>
      </c>
      <c r="B8">
        <f>_xlfn.XLOOKUP(A8,'Financials &amp; Productivity'!A:A,'Financials &amp; Productivity'!B:B)</f>
        <v>2025</v>
      </c>
      <c r="C8" s="109">
        <f>_xlfn.XLOOKUP(A8,'Financials &amp; Productivity'!A:A,'Financials &amp; Productivity'!C:C)</f>
        <v>45931</v>
      </c>
      <c r="D8" t="s">
        <v>94</v>
      </c>
      <c r="E8" t="s">
        <v>165</v>
      </c>
      <c r="F8">
        <v>1</v>
      </c>
      <c r="G8">
        <v>1</v>
      </c>
      <c r="H8">
        <v>1</v>
      </c>
      <c r="I8">
        <f t="shared" si="0"/>
        <v>3</v>
      </c>
      <c r="J8">
        <v>1</v>
      </c>
      <c r="K8">
        <v>5</v>
      </c>
      <c r="L8">
        <v>2</v>
      </c>
      <c r="M8">
        <v>0</v>
      </c>
      <c r="N8">
        <v>0</v>
      </c>
    </row>
    <row r="9" spans="1:16" x14ac:dyDescent="0.3">
      <c r="A9" t="s">
        <v>53</v>
      </c>
      <c r="B9">
        <f>_xlfn.XLOOKUP(A9,'Financials &amp; Productivity'!A:A,'Financials &amp; Productivity'!B:B)</f>
        <v>2025</v>
      </c>
      <c r="C9" s="109">
        <f>_xlfn.XLOOKUP(A9,'Financials &amp; Productivity'!A:A,'Financials &amp; Productivity'!C:C)</f>
        <v>45962</v>
      </c>
      <c r="D9" t="s">
        <v>94</v>
      </c>
      <c r="E9" t="s">
        <v>165</v>
      </c>
      <c r="F9">
        <v>0</v>
      </c>
      <c r="G9">
        <v>1</v>
      </c>
      <c r="H9">
        <v>0</v>
      </c>
      <c r="I9">
        <f t="shared" si="0"/>
        <v>1</v>
      </c>
      <c r="J9">
        <v>0</v>
      </c>
      <c r="K9">
        <v>4</v>
      </c>
      <c r="L9">
        <v>1</v>
      </c>
      <c r="M9">
        <v>35</v>
      </c>
      <c r="N9">
        <v>10</v>
      </c>
    </row>
    <row r="10" spans="1:16" x14ac:dyDescent="0.3">
      <c r="A10" t="s">
        <v>54</v>
      </c>
      <c r="B10">
        <f>_xlfn.XLOOKUP(A10,'Financials &amp; Productivity'!A:A,'Financials &amp; Productivity'!B:B)</f>
        <v>2025</v>
      </c>
      <c r="C10" s="109">
        <f>_xlfn.XLOOKUP(A10,'Financials &amp; Productivity'!A:A,'Financials &amp; Productivity'!C:C)</f>
        <v>45992</v>
      </c>
      <c r="D10" t="s">
        <v>94</v>
      </c>
      <c r="E10" t="s">
        <v>165</v>
      </c>
      <c r="F10">
        <v>0</v>
      </c>
      <c r="G10">
        <v>0</v>
      </c>
      <c r="H10">
        <v>1</v>
      </c>
      <c r="I10">
        <f t="shared" si="0"/>
        <v>1</v>
      </c>
      <c r="J10">
        <v>0</v>
      </c>
      <c r="K10">
        <v>4</v>
      </c>
      <c r="L10">
        <v>1</v>
      </c>
      <c r="M10">
        <v>0</v>
      </c>
      <c r="N10">
        <v>0</v>
      </c>
    </row>
    <row r="11" spans="1:16" x14ac:dyDescent="0.3">
      <c r="A11" t="s">
        <v>56</v>
      </c>
      <c r="B11">
        <f>_xlfn.XLOOKUP(A11,'Financials &amp; Productivity'!A:A,'Financials &amp; Productivity'!B:B)</f>
        <v>2026</v>
      </c>
      <c r="C11" s="109">
        <f>_xlfn.XLOOKUP(A11,'Financials &amp; Productivity'!A:A,'Financials &amp; Productivity'!C:C)</f>
        <v>46023</v>
      </c>
      <c r="D11" t="s">
        <v>94</v>
      </c>
      <c r="E11" t="s">
        <v>165</v>
      </c>
      <c r="F11">
        <v>2</v>
      </c>
      <c r="G11">
        <v>0</v>
      </c>
      <c r="H11">
        <v>0</v>
      </c>
      <c r="I11">
        <f t="shared" si="0"/>
        <v>2</v>
      </c>
      <c r="J11">
        <v>0</v>
      </c>
      <c r="K11">
        <v>5</v>
      </c>
      <c r="L11">
        <v>2</v>
      </c>
      <c r="M11">
        <v>0</v>
      </c>
      <c r="N11">
        <v>0</v>
      </c>
    </row>
    <row r="12" spans="1:16" x14ac:dyDescent="0.3">
      <c r="A12" t="s">
        <v>57</v>
      </c>
      <c r="B12">
        <f>_xlfn.XLOOKUP(A12,'Financials &amp; Productivity'!A:A,'Financials &amp; Productivity'!B:B)</f>
        <v>2026</v>
      </c>
      <c r="C12" s="109">
        <f>_xlfn.XLOOKUP(A12,'Financials &amp; Productivity'!A:A,'Financials &amp; Productivity'!C:C)</f>
        <v>46054</v>
      </c>
      <c r="D12" t="s">
        <v>94</v>
      </c>
      <c r="E12" t="s">
        <v>165</v>
      </c>
      <c r="F12">
        <v>2</v>
      </c>
      <c r="G12">
        <v>0</v>
      </c>
      <c r="H12">
        <v>0</v>
      </c>
      <c r="I12">
        <f t="shared" si="0"/>
        <v>2</v>
      </c>
      <c r="J12">
        <v>0</v>
      </c>
      <c r="K12">
        <v>4</v>
      </c>
      <c r="L12">
        <v>1</v>
      </c>
      <c r="M12">
        <v>0</v>
      </c>
      <c r="N12">
        <v>0</v>
      </c>
    </row>
    <row r="13" spans="1:16" x14ac:dyDescent="0.3">
      <c r="A13" t="s">
        <v>58</v>
      </c>
      <c r="B13">
        <f>_xlfn.XLOOKUP(A13,'Financials &amp; Productivity'!A:A,'Financials &amp; Productivity'!B:B)</f>
        <v>2026</v>
      </c>
      <c r="C13" s="109">
        <f>_xlfn.XLOOKUP(A13,'Financials &amp; Productivity'!A:A,'Financials &amp; Productivity'!C:C)</f>
        <v>46082</v>
      </c>
      <c r="D13" t="s">
        <v>94</v>
      </c>
      <c r="E13" t="s">
        <v>165</v>
      </c>
      <c r="F13">
        <v>0</v>
      </c>
      <c r="G13">
        <v>8</v>
      </c>
      <c r="H13">
        <v>3</v>
      </c>
      <c r="I13">
        <f t="shared" si="0"/>
        <v>11</v>
      </c>
      <c r="J13">
        <v>0</v>
      </c>
      <c r="K13">
        <v>3</v>
      </c>
      <c r="L13">
        <v>1</v>
      </c>
      <c r="M13">
        <v>0</v>
      </c>
      <c r="N13">
        <v>0</v>
      </c>
    </row>
    <row r="14" spans="1:16" x14ac:dyDescent="0.3">
      <c r="A14" t="s">
        <v>40</v>
      </c>
      <c r="B14">
        <f>_xlfn.XLOOKUP(A14,'Financials &amp; Productivity'!A:A,'Financials &amp; Productivity'!B:B)</f>
        <v>2025</v>
      </c>
      <c r="C14" s="109">
        <f>_xlfn.XLOOKUP(A14,'Financials &amp; Productivity'!A:A,'Financials &amp; Productivity'!C:C)</f>
        <v>45748</v>
      </c>
      <c r="D14" t="s">
        <v>99</v>
      </c>
      <c r="E14" t="s">
        <v>165</v>
      </c>
      <c r="F14">
        <v>0</v>
      </c>
      <c r="G14">
        <v>1</v>
      </c>
      <c r="H14">
        <v>0</v>
      </c>
      <c r="I14">
        <f t="shared" si="0"/>
        <v>1</v>
      </c>
      <c r="J14">
        <v>0</v>
      </c>
      <c r="K14">
        <v>2</v>
      </c>
      <c r="L14">
        <v>1</v>
      </c>
      <c r="M14">
        <v>0</v>
      </c>
      <c r="N14">
        <v>0</v>
      </c>
    </row>
    <row r="15" spans="1:16" x14ac:dyDescent="0.3">
      <c r="A15" t="s">
        <v>61</v>
      </c>
      <c r="B15">
        <f>_xlfn.XLOOKUP(A15,'Financials &amp; Productivity'!A:A,'Financials &amp; Productivity'!B:B)</f>
        <v>2025</v>
      </c>
      <c r="C15" s="109">
        <f>_xlfn.XLOOKUP(A15,'Financials &amp; Productivity'!A:A,'Financials &amp; Productivity'!C:C)</f>
        <v>45778</v>
      </c>
      <c r="D15" t="s">
        <v>99</v>
      </c>
      <c r="E15" t="s">
        <v>165</v>
      </c>
      <c r="F15">
        <v>0</v>
      </c>
      <c r="G15">
        <v>2</v>
      </c>
      <c r="H15">
        <v>0</v>
      </c>
      <c r="I15">
        <f t="shared" si="0"/>
        <v>2</v>
      </c>
      <c r="J15">
        <v>0</v>
      </c>
      <c r="K15">
        <v>2</v>
      </c>
      <c r="L15">
        <v>1</v>
      </c>
      <c r="M15">
        <v>0</v>
      </c>
      <c r="N15">
        <v>0</v>
      </c>
    </row>
    <row r="16" spans="1:16" x14ac:dyDescent="0.3">
      <c r="A16" t="s">
        <v>62</v>
      </c>
      <c r="B16">
        <f>_xlfn.XLOOKUP(A16,'Financials &amp; Productivity'!A:A,'Financials &amp; Productivity'!B:B)</f>
        <v>2025</v>
      </c>
      <c r="C16" s="109">
        <f>_xlfn.XLOOKUP(A16,'Financials &amp; Productivity'!A:A,'Financials &amp; Productivity'!C:C)</f>
        <v>45809</v>
      </c>
      <c r="D16" t="s">
        <v>99</v>
      </c>
      <c r="E16" t="s">
        <v>165</v>
      </c>
      <c r="F16">
        <v>1</v>
      </c>
      <c r="G16">
        <v>2</v>
      </c>
      <c r="H16">
        <v>1</v>
      </c>
      <c r="I16">
        <f t="shared" si="0"/>
        <v>4</v>
      </c>
      <c r="J16">
        <v>0</v>
      </c>
      <c r="K16">
        <v>3</v>
      </c>
      <c r="L16">
        <v>1</v>
      </c>
      <c r="M16">
        <v>0</v>
      </c>
      <c r="N16">
        <v>0</v>
      </c>
    </row>
    <row r="17" spans="1:14" x14ac:dyDescent="0.3">
      <c r="A17" t="s">
        <v>49</v>
      </c>
      <c r="B17">
        <f>_xlfn.XLOOKUP(A17,'Financials &amp; Productivity'!A:A,'Financials &amp; Productivity'!B:B)</f>
        <v>2025</v>
      </c>
      <c r="C17" s="109">
        <f>_xlfn.XLOOKUP(A17,'Financials &amp; Productivity'!A:A,'Financials &amp; Productivity'!C:C)</f>
        <v>45839</v>
      </c>
      <c r="D17" t="s">
        <v>99</v>
      </c>
      <c r="E17" t="s">
        <v>165</v>
      </c>
      <c r="F17">
        <v>0</v>
      </c>
      <c r="G17">
        <v>2</v>
      </c>
      <c r="H17">
        <v>0</v>
      </c>
      <c r="I17">
        <f t="shared" si="0"/>
        <v>2</v>
      </c>
      <c r="J17">
        <v>0</v>
      </c>
      <c r="K17">
        <v>2</v>
      </c>
      <c r="L17">
        <v>1</v>
      </c>
      <c r="M17">
        <v>0</v>
      </c>
      <c r="N17">
        <v>0</v>
      </c>
    </row>
    <row r="18" spans="1:14" x14ac:dyDescent="0.3">
      <c r="A18" t="s">
        <v>50</v>
      </c>
      <c r="B18">
        <f>_xlfn.XLOOKUP(A18,'Financials &amp; Productivity'!A:A,'Financials &amp; Productivity'!B:B)</f>
        <v>2025</v>
      </c>
      <c r="C18" s="109">
        <f>_xlfn.XLOOKUP(A18,'Financials &amp; Productivity'!A:A,'Financials &amp; Productivity'!C:C)</f>
        <v>45870</v>
      </c>
      <c r="D18" t="s">
        <v>99</v>
      </c>
      <c r="E18" t="s">
        <v>165</v>
      </c>
      <c r="F18">
        <v>1</v>
      </c>
      <c r="G18">
        <v>2</v>
      </c>
      <c r="H18">
        <v>1</v>
      </c>
      <c r="I18">
        <f t="shared" si="0"/>
        <v>4</v>
      </c>
      <c r="J18">
        <v>0</v>
      </c>
      <c r="K18">
        <v>4</v>
      </c>
      <c r="L18">
        <v>2</v>
      </c>
      <c r="M18">
        <v>20</v>
      </c>
      <c r="N18">
        <v>8</v>
      </c>
    </row>
    <row r="19" spans="1:14" x14ac:dyDescent="0.3">
      <c r="A19" t="s">
        <v>51</v>
      </c>
      <c r="B19">
        <f>_xlfn.XLOOKUP(A19,'Financials &amp; Productivity'!A:A,'Financials &amp; Productivity'!B:B)</f>
        <v>2025</v>
      </c>
      <c r="C19" s="109">
        <f>_xlfn.XLOOKUP(A19,'Financials &amp; Productivity'!A:A,'Financials &amp; Productivity'!C:C)</f>
        <v>45901</v>
      </c>
      <c r="D19" t="s">
        <v>99</v>
      </c>
      <c r="E19" t="s">
        <v>165</v>
      </c>
      <c r="F19">
        <v>0</v>
      </c>
      <c r="G19">
        <v>1</v>
      </c>
      <c r="H19">
        <v>1</v>
      </c>
      <c r="I19">
        <f t="shared" si="0"/>
        <v>2</v>
      </c>
      <c r="J19">
        <v>0</v>
      </c>
      <c r="K19">
        <v>3</v>
      </c>
      <c r="L19">
        <v>1</v>
      </c>
      <c r="M19">
        <v>12</v>
      </c>
      <c r="N19">
        <v>2</v>
      </c>
    </row>
    <row r="20" spans="1:14" x14ac:dyDescent="0.3">
      <c r="A20" t="s">
        <v>52</v>
      </c>
      <c r="B20">
        <f>_xlfn.XLOOKUP(A20,'Financials &amp; Productivity'!A:A,'Financials &amp; Productivity'!B:B)</f>
        <v>2025</v>
      </c>
      <c r="C20" s="109">
        <f>_xlfn.XLOOKUP(A20,'Financials &amp; Productivity'!A:A,'Financials &amp; Productivity'!C:C)</f>
        <v>45931</v>
      </c>
      <c r="D20" t="s">
        <v>99</v>
      </c>
      <c r="E20" t="s">
        <v>165</v>
      </c>
      <c r="F20">
        <v>1</v>
      </c>
      <c r="G20">
        <v>2</v>
      </c>
      <c r="H20">
        <v>1</v>
      </c>
      <c r="I20">
        <f t="shared" si="0"/>
        <v>4</v>
      </c>
      <c r="J20">
        <v>1</v>
      </c>
      <c r="K20">
        <v>4</v>
      </c>
      <c r="L20">
        <v>2</v>
      </c>
      <c r="M20">
        <v>0</v>
      </c>
      <c r="N20">
        <v>0</v>
      </c>
    </row>
    <row r="21" spans="1:14" x14ac:dyDescent="0.3">
      <c r="A21" t="s">
        <v>53</v>
      </c>
      <c r="B21">
        <f>_xlfn.XLOOKUP(A21,'Financials &amp; Productivity'!A:A,'Financials &amp; Productivity'!B:B)</f>
        <v>2025</v>
      </c>
      <c r="C21" s="109">
        <f>_xlfn.XLOOKUP(A21,'Financials &amp; Productivity'!A:A,'Financials &amp; Productivity'!C:C)</f>
        <v>45962</v>
      </c>
      <c r="D21" t="s">
        <v>99</v>
      </c>
      <c r="E21" t="s">
        <v>165</v>
      </c>
      <c r="F21">
        <v>1</v>
      </c>
      <c r="G21">
        <v>1</v>
      </c>
      <c r="H21">
        <v>0</v>
      </c>
      <c r="I21">
        <f t="shared" si="0"/>
        <v>2</v>
      </c>
      <c r="J21">
        <v>0</v>
      </c>
      <c r="K21">
        <v>2</v>
      </c>
      <c r="L21">
        <v>1</v>
      </c>
      <c r="M21">
        <v>28</v>
      </c>
      <c r="N21">
        <v>8</v>
      </c>
    </row>
    <row r="22" spans="1:14" x14ac:dyDescent="0.3">
      <c r="A22" t="s">
        <v>54</v>
      </c>
      <c r="B22">
        <f>_xlfn.XLOOKUP(A22,'Financials &amp; Productivity'!A:A,'Financials &amp; Productivity'!B:B)</f>
        <v>2025</v>
      </c>
      <c r="C22" s="109">
        <f>_xlfn.XLOOKUP(A22,'Financials &amp; Productivity'!A:A,'Financials &amp; Productivity'!C:C)</f>
        <v>45992</v>
      </c>
      <c r="D22" t="s">
        <v>99</v>
      </c>
      <c r="E22" t="s">
        <v>165</v>
      </c>
      <c r="F22">
        <v>1</v>
      </c>
      <c r="G22">
        <v>0</v>
      </c>
      <c r="H22">
        <v>1</v>
      </c>
      <c r="I22">
        <f t="shared" si="0"/>
        <v>2</v>
      </c>
      <c r="J22">
        <v>0</v>
      </c>
      <c r="K22">
        <v>2</v>
      </c>
      <c r="L22">
        <v>1</v>
      </c>
      <c r="M22">
        <v>0</v>
      </c>
      <c r="N22">
        <v>0</v>
      </c>
    </row>
    <row r="23" spans="1:14" x14ac:dyDescent="0.3">
      <c r="A23" t="s">
        <v>56</v>
      </c>
      <c r="B23">
        <f>_xlfn.XLOOKUP(A23,'Financials &amp; Productivity'!A:A,'Financials &amp; Productivity'!B:B)</f>
        <v>2026</v>
      </c>
      <c r="C23" s="109">
        <f>_xlfn.XLOOKUP(A23,'Financials &amp; Productivity'!A:A,'Financials &amp; Productivity'!C:C)</f>
        <v>46023</v>
      </c>
      <c r="D23" t="s">
        <v>99</v>
      </c>
      <c r="E23" t="s">
        <v>165</v>
      </c>
      <c r="F23">
        <v>1</v>
      </c>
      <c r="G23">
        <v>0</v>
      </c>
      <c r="H23">
        <v>0</v>
      </c>
      <c r="I23">
        <f t="shared" si="0"/>
        <v>1</v>
      </c>
      <c r="J23">
        <v>0</v>
      </c>
      <c r="K23">
        <v>4</v>
      </c>
      <c r="L23">
        <v>2</v>
      </c>
      <c r="M23">
        <v>0</v>
      </c>
      <c r="N23">
        <v>0</v>
      </c>
    </row>
    <row r="24" spans="1:14" x14ac:dyDescent="0.3">
      <c r="A24" t="s">
        <v>57</v>
      </c>
      <c r="B24">
        <f>_xlfn.XLOOKUP(A24,'Financials &amp; Productivity'!A:A,'Financials &amp; Productivity'!B:B)</f>
        <v>2026</v>
      </c>
      <c r="C24" s="109">
        <f>_xlfn.XLOOKUP(A24,'Financials &amp; Productivity'!A:A,'Financials &amp; Productivity'!C:C)</f>
        <v>46054</v>
      </c>
      <c r="D24" t="s">
        <v>99</v>
      </c>
      <c r="E24" t="s">
        <v>165</v>
      </c>
      <c r="F24">
        <v>0</v>
      </c>
      <c r="G24">
        <v>0</v>
      </c>
      <c r="H24">
        <v>0</v>
      </c>
      <c r="I24">
        <f t="shared" si="0"/>
        <v>0</v>
      </c>
      <c r="J24">
        <v>0</v>
      </c>
      <c r="K24">
        <v>2</v>
      </c>
      <c r="L24">
        <v>1</v>
      </c>
      <c r="M24">
        <v>0</v>
      </c>
      <c r="N24">
        <v>0</v>
      </c>
    </row>
    <row r="25" spans="1:14" x14ac:dyDescent="0.3">
      <c r="A25" t="s">
        <v>58</v>
      </c>
      <c r="B25">
        <f>_xlfn.XLOOKUP(A25,'Financials &amp; Productivity'!A:A,'Financials &amp; Productivity'!B:B)</f>
        <v>2026</v>
      </c>
      <c r="C25" s="109">
        <f>_xlfn.XLOOKUP(A25,'Financials &amp; Productivity'!A:A,'Financials &amp; Productivity'!C:C)</f>
        <v>46082</v>
      </c>
      <c r="D25" t="s">
        <v>99</v>
      </c>
      <c r="E25" t="s">
        <v>165</v>
      </c>
      <c r="F25">
        <v>0</v>
      </c>
      <c r="G25">
        <v>6</v>
      </c>
      <c r="H25">
        <v>3</v>
      </c>
      <c r="I25">
        <f t="shared" si="0"/>
        <v>9</v>
      </c>
      <c r="J25">
        <v>0</v>
      </c>
      <c r="K25">
        <v>2</v>
      </c>
      <c r="L25">
        <v>1</v>
      </c>
      <c r="M25">
        <v>0</v>
      </c>
      <c r="N25">
        <v>0</v>
      </c>
    </row>
    <row r="26" spans="1:14" x14ac:dyDescent="0.3">
      <c r="A26" t="s">
        <v>40</v>
      </c>
      <c r="B26">
        <f>_xlfn.XLOOKUP(A26,'Financials &amp; Productivity'!A:A,'Financials &amp; Productivity'!B:B)</f>
        <v>2025</v>
      </c>
      <c r="C26" s="109">
        <f>_xlfn.XLOOKUP(A26,'Financials &amp; Productivity'!A:A,'Financials &amp; Productivity'!C:C)</f>
        <v>45748</v>
      </c>
      <c r="D26" t="s">
        <v>100</v>
      </c>
      <c r="E26" t="s">
        <v>165</v>
      </c>
      <c r="F26">
        <v>0</v>
      </c>
      <c r="G26">
        <v>1</v>
      </c>
      <c r="H26">
        <v>0</v>
      </c>
      <c r="I26">
        <f t="shared" si="0"/>
        <v>1</v>
      </c>
      <c r="J26">
        <v>0</v>
      </c>
      <c r="K26">
        <v>1</v>
      </c>
      <c r="L26">
        <v>0</v>
      </c>
      <c r="M26">
        <v>0</v>
      </c>
      <c r="N26">
        <v>0</v>
      </c>
    </row>
    <row r="27" spans="1:14" x14ac:dyDescent="0.3">
      <c r="A27" t="s">
        <v>61</v>
      </c>
      <c r="B27">
        <f>_xlfn.XLOOKUP(A27,'Financials &amp; Productivity'!A:A,'Financials &amp; Productivity'!B:B)</f>
        <v>2025</v>
      </c>
      <c r="C27" s="109">
        <f>_xlfn.XLOOKUP(A27,'Financials &amp; Productivity'!A:A,'Financials &amp; Productivity'!C:C)</f>
        <v>45778</v>
      </c>
      <c r="D27" t="s">
        <v>100</v>
      </c>
      <c r="E27" t="s">
        <v>165</v>
      </c>
      <c r="F27">
        <v>0</v>
      </c>
      <c r="G27">
        <v>1</v>
      </c>
      <c r="H27">
        <v>0</v>
      </c>
      <c r="I27">
        <f t="shared" si="0"/>
        <v>1</v>
      </c>
      <c r="J27">
        <v>0</v>
      </c>
      <c r="K27">
        <v>1</v>
      </c>
      <c r="L27">
        <v>0</v>
      </c>
      <c r="M27">
        <v>0</v>
      </c>
      <c r="N27">
        <v>0</v>
      </c>
    </row>
    <row r="28" spans="1:14" x14ac:dyDescent="0.3">
      <c r="A28" t="s">
        <v>62</v>
      </c>
      <c r="B28">
        <f>_xlfn.XLOOKUP(A28,'Financials &amp; Productivity'!A:A,'Financials &amp; Productivity'!B:B)</f>
        <v>2025</v>
      </c>
      <c r="C28" s="109">
        <f>_xlfn.XLOOKUP(A28,'Financials &amp; Productivity'!A:A,'Financials &amp; Productivity'!C:C)</f>
        <v>45809</v>
      </c>
      <c r="D28" t="s">
        <v>100</v>
      </c>
      <c r="E28" t="s">
        <v>165</v>
      </c>
      <c r="F28">
        <v>0</v>
      </c>
      <c r="G28">
        <v>1</v>
      </c>
      <c r="H28">
        <v>1</v>
      </c>
      <c r="I28">
        <f t="shared" si="0"/>
        <v>2</v>
      </c>
      <c r="J28">
        <v>0</v>
      </c>
      <c r="K28">
        <v>2</v>
      </c>
      <c r="L28">
        <v>1</v>
      </c>
      <c r="M28">
        <v>0</v>
      </c>
      <c r="N28">
        <v>0</v>
      </c>
    </row>
    <row r="29" spans="1:14" x14ac:dyDescent="0.3">
      <c r="A29" t="s">
        <v>49</v>
      </c>
      <c r="B29">
        <f>_xlfn.XLOOKUP(A29,'Financials &amp; Productivity'!A:A,'Financials &amp; Productivity'!B:B)</f>
        <v>2025</v>
      </c>
      <c r="C29" s="109">
        <f>_xlfn.XLOOKUP(A29,'Financials &amp; Productivity'!A:A,'Financials &amp; Productivity'!C:C)</f>
        <v>45839</v>
      </c>
      <c r="D29" t="s">
        <v>100</v>
      </c>
      <c r="E29" t="s">
        <v>165</v>
      </c>
      <c r="F29">
        <v>0</v>
      </c>
      <c r="G29">
        <v>1</v>
      </c>
      <c r="H29">
        <v>0</v>
      </c>
      <c r="I29">
        <f t="shared" si="0"/>
        <v>1</v>
      </c>
      <c r="J29">
        <v>0</v>
      </c>
      <c r="K29">
        <v>1</v>
      </c>
      <c r="L29">
        <v>0</v>
      </c>
      <c r="M29">
        <v>0</v>
      </c>
      <c r="N29">
        <v>0</v>
      </c>
    </row>
    <row r="30" spans="1:14" x14ac:dyDescent="0.3">
      <c r="A30" t="s">
        <v>50</v>
      </c>
      <c r="B30">
        <f>_xlfn.XLOOKUP(A30,'Financials &amp; Productivity'!A:A,'Financials &amp; Productivity'!B:B)</f>
        <v>2025</v>
      </c>
      <c r="C30" s="109">
        <f>_xlfn.XLOOKUP(A30,'Financials &amp; Productivity'!A:A,'Financials &amp; Productivity'!C:C)</f>
        <v>45870</v>
      </c>
      <c r="D30" t="s">
        <v>100</v>
      </c>
      <c r="E30" t="s">
        <v>165</v>
      </c>
      <c r="F30">
        <v>1</v>
      </c>
      <c r="G30">
        <v>1</v>
      </c>
      <c r="H30">
        <v>1</v>
      </c>
      <c r="I30">
        <f t="shared" si="0"/>
        <v>3</v>
      </c>
      <c r="J30">
        <v>0</v>
      </c>
      <c r="K30">
        <v>3</v>
      </c>
      <c r="L30">
        <v>1</v>
      </c>
      <c r="M30">
        <v>15</v>
      </c>
      <c r="N30">
        <v>6</v>
      </c>
    </row>
    <row r="31" spans="1:14" x14ac:dyDescent="0.3">
      <c r="A31" t="s">
        <v>51</v>
      </c>
      <c r="B31">
        <f>_xlfn.XLOOKUP(A31,'Financials &amp; Productivity'!A:A,'Financials &amp; Productivity'!B:B)</f>
        <v>2025</v>
      </c>
      <c r="C31" s="109">
        <f>_xlfn.XLOOKUP(A31,'Financials &amp; Productivity'!A:A,'Financials &amp; Productivity'!C:C)</f>
        <v>45901</v>
      </c>
      <c r="D31" t="s">
        <v>100</v>
      </c>
      <c r="E31" t="s">
        <v>165</v>
      </c>
      <c r="F31">
        <v>1</v>
      </c>
      <c r="G31">
        <v>1</v>
      </c>
      <c r="H31">
        <v>0</v>
      </c>
      <c r="I31">
        <f t="shared" si="0"/>
        <v>2</v>
      </c>
      <c r="J31">
        <v>0</v>
      </c>
      <c r="K31">
        <v>2</v>
      </c>
      <c r="L31">
        <v>1</v>
      </c>
      <c r="M31">
        <v>9</v>
      </c>
      <c r="N31">
        <v>2</v>
      </c>
    </row>
    <row r="32" spans="1:14" x14ac:dyDescent="0.3">
      <c r="A32" t="s">
        <v>52</v>
      </c>
      <c r="B32">
        <f>_xlfn.XLOOKUP(A32,'Financials &amp; Productivity'!A:A,'Financials &amp; Productivity'!B:B)</f>
        <v>2025</v>
      </c>
      <c r="C32" s="109">
        <f>_xlfn.XLOOKUP(A32,'Financials &amp; Productivity'!A:A,'Financials &amp; Productivity'!C:C)</f>
        <v>45931</v>
      </c>
      <c r="D32" t="s">
        <v>100</v>
      </c>
      <c r="E32" t="s">
        <v>165</v>
      </c>
      <c r="F32">
        <v>1</v>
      </c>
      <c r="G32">
        <v>1</v>
      </c>
      <c r="H32">
        <v>1</v>
      </c>
      <c r="I32">
        <f t="shared" si="0"/>
        <v>3</v>
      </c>
      <c r="J32">
        <v>0</v>
      </c>
      <c r="K32">
        <v>3</v>
      </c>
      <c r="L32">
        <v>1</v>
      </c>
      <c r="M32">
        <v>0</v>
      </c>
      <c r="N32">
        <v>0</v>
      </c>
    </row>
    <row r="33" spans="1:14" x14ac:dyDescent="0.3">
      <c r="A33" t="s">
        <v>53</v>
      </c>
      <c r="B33">
        <f>_xlfn.XLOOKUP(A33,'Financials &amp; Productivity'!A:A,'Financials &amp; Productivity'!B:B)</f>
        <v>2025</v>
      </c>
      <c r="C33" s="109">
        <f>_xlfn.XLOOKUP(A33,'Financials &amp; Productivity'!A:A,'Financials &amp; Productivity'!C:C)</f>
        <v>45962</v>
      </c>
      <c r="D33" t="s">
        <v>100</v>
      </c>
      <c r="E33" t="s">
        <v>165</v>
      </c>
      <c r="F33">
        <v>0</v>
      </c>
      <c r="G33">
        <v>1</v>
      </c>
      <c r="H33">
        <v>0</v>
      </c>
      <c r="I33">
        <f t="shared" si="0"/>
        <v>1</v>
      </c>
      <c r="J33">
        <v>0</v>
      </c>
      <c r="K33">
        <v>1</v>
      </c>
      <c r="L33">
        <v>0</v>
      </c>
      <c r="M33">
        <v>21</v>
      </c>
      <c r="N33">
        <v>6</v>
      </c>
    </row>
    <row r="34" spans="1:14" x14ac:dyDescent="0.3">
      <c r="A34" t="s">
        <v>54</v>
      </c>
      <c r="B34">
        <f>_xlfn.XLOOKUP(A34,'Financials &amp; Productivity'!A:A,'Financials &amp; Productivity'!B:B)</f>
        <v>2025</v>
      </c>
      <c r="C34" s="109">
        <f>_xlfn.XLOOKUP(A34,'Financials &amp; Productivity'!A:A,'Financials &amp; Productivity'!C:C)</f>
        <v>45992</v>
      </c>
      <c r="D34" t="s">
        <v>100</v>
      </c>
      <c r="E34" t="s">
        <v>165</v>
      </c>
      <c r="F34">
        <v>1</v>
      </c>
      <c r="G34">
        <v>0</v>
      </c>
      <c r="H34">
        <v>1</v>
      </c>
      <c r="I34">
        <f t="shared" si="0"/>
        <v>2</v>
      </c>
      <c r="J34">
        <v>0</v>
      </c>
      <c r="K34">
        <v>1</v>
      </c>
      <c r="L34">
        <v>0</v>
      </c>
      <c r="M34">
        <v>0</v>
      </c>
      <c r="N34">
        <v>0</v>
      </c>
    </row>
    <row r="35" spans="1:14" x14ac:dyDescent="0.3">
      <c r="A35" t="s">
        <v>56</v>
      </c>
      <c r="B35">
        <f>_xlfn.XLOOKUP(A35,'Financials &amp; Productivity'!A:A,'Financials &amp; Productivity'!B:B)</f>
        <v>2026</v>
      </c>
      <c r="C35" s="109">
        <f>_xlfn.XLOOKUP(A35,'Financials &amp; Productivity'!A:A,'Financials &amp; Productivity'!C:C)</f>
        <v>46023</v>
      </c>
      <c r="D35" t="s">
        <v>100</v>
      </c>
      <c r="E35" t="s">
        <v>165</v>
      </c>
      <c r="F35">
        <v>1</v>
      </c>
      <c r="G35">
        <v>0</v>
      </c>
      <c r="H35">
        <v>0</v>
      </c>
      <c r="I35">
        <f t="shared" si="0"/>
        <v>1</v>
      </c>
      <c r="J35">
        <v>0</v>
      </c>
      <c r="K35">
        <v>3</v>
      </c>
      <c r="L35">
        <v>1</v>
      </c>
      <c r="M35">
        <v>0</v>
      </c>
      <c r="N35">
        <v>0</v>
      </c>
    </row>
    <row r="36" spans="1:14" x14ac:dyDescent="0.3">
      <c r="A36" t="s">
        <v>57</v>
      </c>
      <c r="B36">
        <f>_xlfn.XLOOKUP(A36,'Financials &amp; Productivity'!A:A,'Financials &amp; Productivity'!B:B)</f>
        <v>2026</v>
      </c>
      <c r="C36" s="109">
        <f>_xlfn.XLOOKUP(A36,'Financials &amp; Productivity'!A:A,'Financials &amp; Productivity'!C:C)</f>
        <v>46054</v>
      </c>
      <c r="D36" t="s">
        <v>100</v>
      </c>
      <c r="E36" t="s">
        <v>165</v>
      </c>
      <c r="F36">
        <v>0</v>
      </c>
      <c r="G36">
        <v>0</v>
      </c>
      <c r="H36">
        <v>0</v>
      </c>
      <c r="I36">
        <f t="shared" si="0"/>
        <v>0</v>
      </c>
      <c r="J36">
        <v>0</v>
      </c>
      <c r="K36">
        <v>1</v>
      </c>
      <c r="L36">
        <v>0</v>
      </c>
      <c r="M36">
        <v>0</v>
      </c>
      <c r="N36">
        <v>0</v>
      </c>
    </row>
    <row r="37" spans="1:14" x14ac:dyDescent="0.3">
      <c r="A37" t="s">
        <v>58</v>
      </c>
      <c r="B37">
        <f>_xlfn.XLOOKUP(A37,'Financials &amp; Productivity'!A:A,'Financials &amp; Productivity'!B:B)</f>
        <v>2026</v>
      </c>
      <c r="C37" s="109">
        <f>_xlfn.XLOOKUP(A37,'Financials &amp; Productivity'!A:A,'Financials &amp; Productivity'!C:C)</f>
        <v>46082</v>
      </c>
      <c r="D37" t="s">
        <v>100</v>
      </c>
      <c r="E37" t="s">
        <v>165</v>
      </c>
      <c r="F37">
        <v>0</v>
      </c>
      <c r="G37">
        <v>5</v>
      </c>
      <c r="H37">
        <v>2</v>
      </c>
      <c r="I37">
        <f t="shared" si="0"/>
        <v>7</v>
      </c>
      <c r="J37">
        <v>0</v>
      </c>
      <c r="K37">
        <v>2</v>
      </c>
      <c r="L37">
        <v>1</v>
      </c>
      <c r="M37">
        <v>0</v>
      </c>
      <c r="N37">
        <v>0</v>
      </c>
    </row>
  </sheetData>
  <autoFilter ref="A1:N37" xr:uid="{AC8777A6-6928-4B36-8EA6-1BB20138E73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D247-EFED-44D6-A62E-BC36D23E5CF2}">
  <dimension ref="A1:J37"/>
  <sheetViews>
    <sheetView workbookViewId="0"/>
  </sheetViews>
  <sheetFormatPr defaultRowHeight="14.4" x14ac:dyDescent="0.3"/>
  <cols>
    <col min="1" max="1" width="9.77734375" bestFit="1" customWidth="1"/>
    <col min="2" max="2" width="9.77734375" customWidth="1"/>
    <col min="3" max="3" width="9.77734375" style="109" customWidth="1"/>
    <col min="4" max="4" width="9.109375" bestFit="1" customWidth="1"/>
    <col min="5" max="5" width="9.109375" customWidth="1"/>
    <col min="6" max="6" width="25.6640625" style="81" bestFit="1" customWidth="1"/>
    <col min="7" max="7" width="14.5546875" style="81" bestFit="1" customWidth="1"/>
    <col min="8" max="8" width="24.5546875" style="81" bestFit="1" customWidth="1"/>
    <col min="9" max="9" width="22.109375" style="81" bestFit="1" customWidth="1"/>
    <col min="10" max="10" width="27.5546875" style="81" bestFit="1" customWidth="1"/>
    <col min="11" max="11" width="24.33203125" bestFit="1" customWidth="1"/>
    <col min="12" max="12" width="16.21875" bestFit="1" customWidth="1"/>
    <col min="13" max="13" width="21.77734375" bestFit="1" customWidth="1"/>
  </cols>
  <sheetData>
    <row r="1" spans="1:10" x14ac:dyDescent="0.3">
      <c r="A1" s="104" t="s">
        <v>95</v>
      </c>
      <c r="B1" s="104" t="s">
        <v>166</v>
      </c>
      <c r="C1" s="110" t="s">
        <v>167</v>
      </c>
      <c r="D1" s="104" t="s">
        <v>96</v>
      </c>
      <c r="E1" s="104" t="s">
        <v>164</v>
      </c>
      <c r="F1" s="106" t="s">
        <v>156</v>
      </c>
      <c r="G1" s="106" t="s">
        <v>157</v>
      </c>
      <c r="H1" s="106" t="s">
        <v>158</v>
      </c>
      <c r="I1" s="106" t="s">
        <v>159</v>
      </c>
      <c r="J1" s="106" t="s">
        <v>160</v>
      </c>
    </row>
    <row r="2" spans="1:10" x14ac:dyDescent="0.3">
      <c r="A2" t="s">
        <v>40</v>
      </c>
      <c r="B2">
        <f>_xlfn.XLOOKUP(A2,'Financials &amp; Productivity'!A:A,'Financials &amp; Productivity'!B:B)</f>
        <v>2025</v>
      </c>
      <c r="C2" s="109">
        <f>_xlfn.XLOOKUP(A2,'Financials &amp; Productivity'!A:A,'Financials &amp; Productivity'!C:C)</f>
        <v>45748</v>
      </c>
      <c r="D2" t="s">
        <v>94</v>
      </c>
      <c r="E2" t="s">
        <v>165</v>
      </c>
      <c r="F2" s="81">
        <v>0.02</v>
      </c>
      <c r="G2" s="81">
        <v>0.8</v>
      </c>
      <c r="H2" s="81">
        <v>0.4</v>
      </c>
      <c r="I2" s="81">
        <v>0</v>
      </c>
      <c r="J2" s="81">
        <v>0</v>
      </c>
    </row>
    <row r="3" spans="1:10" x14ac:dyDescent="0.3">
      <c r="A3" t="s">
        <v>61</v>
      </c>
      <c r="B3">
        <f>_xlfn.XLOOKUP(A3,'Financials &amp; Productivity'!A:A,'Financials &amp; Productivity'!B:B)</f>
        <v>2025</v>
      </c>
      <c r="C3" s="109">
        <f>_xlfn.XLOOKUP(A3,'Financials &amp; Productivity'!A:A,'Financials &amp; Productivity'!C:C)</f>
        <v>45778</v>
      </c>
      <c r="D3" t="s">
        <v>94</v>
      </c>
      <c r="E3" t="s">
        <v>165</v>
      </c>
      <c r="F3" s="81">
        <v>0.02</v>
      </c>
      <c r="G3" s="81">
        <v>0.8</v>
      </c>
      <c r="H3" s="81">
        <v>0.4</v>
      </c>
      <c r="I3" s="81">
        <v>0</v>
      </c>
      <c r="J3" s="81">
        <v>0</v>
      </c>
    </row>
    <row r="4" spans="1:10" x14ac:dyDescent="0.3">
      <c r="A4" t="s">
        <v>62</v>
      </c>
      <c r="B4">
        <f>_xlfn.XLOOKUP(A4,'Financials &amp; Productivity'!A:A,'Financials &amp; Productivity'!B:B)</f>
        <v>2025</v>
      </c>
      <c r="C4" s="109">
        <f>_xlfn.XLOOKUP(A4,'Financials &amp; Productivity'!A:A,'Financials &amp; Productivity'!C:C)</f>
        <v>45809</v>
      </c>
      <c r="D4" t="s">
        <v>94</v>
      </c>
      <c r="E4" t="s">
        <v>165</v>
      </c>
      <c r="F4" s="81">
        <v>0.02</v>
      </c>
      <c r="G4" s="81">
        <v>0.8</v>
      </c>
      <c r="H4" s="81">
        <v>0.4</v>
      </c>
      <c r="I4" s="81">
        <v>0</v>
      </c>
      <c r="J4" s="81">
        <v>0</v>
      </c>
    </row>
    <row r="5" spans="1:10" x14ac:dyDescent="0.3">
      <c r="A5" t="s">
        <v>49</v>
      </c>
      <c r="B5">
        <f>_xlfn.XLOOKUP(A5,'Financials &amp; Productivity'!A:A,'Financials &amp; Productivity'!B:B)</f>
        <v>2025</v>
      </c>
      <c r="C5" s="109">
        <f>_xlfn.XLOOKUP(A5,'Financials &amp; Productivity'!A:A,'Financials &amp; Productivity'!C:C)</f>
        <v>45839</v>
      </c>
      <c r="D5" t="s">
        <v>94</v>
      </c>
      <c r="E5" t="s">
        <v>165</v>
      </c>
      <c r="F5" s="81">
        <v>0.02</v>
      </c>
      <c r="G5" s="81">
        <v>0.8</v>
      </c>
      <c r="H5" s="81">
        <v>0.4</v>
      </c>
      <c r="I5" s="81">
        <v>0</v>
      </c>
      <c r="J5" s="81">
        <v>0</v>
      </c>
    </row>
    <row r="6" spans="1:10" x14ac:dyDescent="0.3">
      <c r="A6" t="s">
        <v>50</v>
      </c>
      <c r="B6">
        <f>_xlfn.XLOOKUP(A6,'Financials &amp; Productivity'!A:A,'Financials &amp; Productivity'!B:B)</f>
        <v>2025</v>
      </c>
      <c r="C6" s="109">
        <f>_xlfn.XLOOKUP(A6,'Financials &amp; Productivity'!A:A,'Financials &amp; Productivity'!C:C)</f>
        <v>45870</v>
      </c>
      <c r="D6" t="s">
        <v>94</v>
      </c>
      <c r="E6" t="s">
        <v>165</v>
      </c>
      <c r="F6" s="81">
        <v>0.02</v>
      </c>
      <c r="G6" s="81">
        <v>0.8</v>
      </c>
      <c r="H6" s="81">
        <v>0.4</v>
      </c>
      <c r="I6" s="81">
        <v>0</v>
      </c>
      <c r="J6" s="81">
        <v>0</v>
      </c>
    </row>
    <row r="7" spans="1:10" x14ac:dyDescent="0.3">
      <c r="A7" t="s">
        <v>51</v>
      </c>
      <c r="B7">
        <f>_xlfn.XLOOKUP(A7,'Financials &amp; Productivity'!A:A,'Financials &amp; Productivity'!B:B)</f>
        <v>2025</v>
      </c>
      <c r="C7" s="109">
        <f>_xlfn.XLOOKUP(A7,'Financials &amp; Productivity'!A:A,'Financials &amp; Productivity'!C:C)</f>
        <v>45901</v>
      </c>
      <c r="D7" t="s">
        <v>94</v>
      </c>
      <c r="E7" t="s">
        <v>165</v>
      </c>
      <c r="F7" s="81">
        <v>0.02</v>
      </c>
      <c r="G7" s="81">
        <v>0.8</v>
      </c>
      <c r="H7" s="81">
        <v>0.4</v>
      </c>
      <c r="I7" s="81">
        <v>0</v>
      </c>
      <c r="J7" s="81">
        <v>0</v>
      </c>
    </row>
    <row r="8" spans="1:10" x14ac:dyDescent="0.3">
      <c r="A8" t="s">
        <v>52</v>
      </c>
      <c r="B8">
        <f>_xlfn.XLOOKUP(A8,'Financials &amp; Productivity'!A:A,'Financials &amp; Productivity'!B:B)</f>
        <v>2025</v>
      </c>
      <c r="C8" s="109">
        <f>_xlfn.XLOOKUP(A8,'Financials &amp; Productivity'!A:A,'Financials &amp; Productivity'!C:C)</f>
        <v>45931</v>
      </c>
      <c r="D8" t="s">
        <v>94</v>
      </c>
      <c r="E8" t="s">
        <v>165</v>
      </c>
      <c r="F8" s="81">
        <v>0.02</v>
      </c>
      <c r="G8" s="81">
        <v>0.8</v>
      </c>
      <c r="H8" s="81">
        <v>0.4</v>
      </c>
      <c r="I8" s="81">
        <v>0</v>
      </c>
      <c r="J8" s="81">
        <v>0</v>
      </c>
    </row>
    <row r="9" spans="1:10" x14ac:dyDescent="0.3">
      <c r="A9" t="s">
        <v>53</v>
      </c>
      <c r="B9">
        <f>_xlfn.XLOOKUP(A9,'Financials &amp; Productivity'!A:A,'Financials &amp; Productivity'!B:B)</f>
        <v>2025</v>
      </c>
      <c r="C9" s="109">
        <f>_xlfn.XLOOKUP(A9,'Financials &amp; Productivity'!A:A,'Financials &amp; Productivity'!C:C)</f>
        <v>45962</v>
      </c>
      <c r="D9" t="s">
        <v>94</v>
      </c>
      <c r="E9" t="s">
        <v>165</v>
      </c>
      <c r="F9" s="81">
        <v>0.02</v>
      </c>
      <c r="G9" s="81">
        <v>0.8</v>
      </c>
      <c r="H9" s="81">
        <v>0.4</v>
      </c>
      <c r="I9" s="81">
        <v>0</v>
      </c>
      <c r="J9" s="81">
        <v>0</v>
      </c>
    </row>
    <row r="10" spans="1:10" x14ac:dyDescent="0.3">
      <c r="A10" t="s">
        <v>54</v>
      </c>
      <c r="B10">
        <f>_xlfn.XLOOKUP(A10,'Financials &amp; Productivity'!A:A,'Financials &amp; Productivity'!B:B)</f>
        <v>2025</v>
      </c>
      <c r="C10" s="109">
        <f>_xlfn.XLOOKUP(A10,'Financials &amp; Productivity'!A:A,'Financials &amp; Productivity'!C:C)</f>
        <v>45992</v>
      </c>
      <c r="D10" t="s">
        <v>94</v>
      </c>
      <c r="E10" t="s">
        <v>165</v>
      </c>
      <c r="F10" s="81">
        <v>0.02</v>
      </c>
      <c r="G10" s="81">
        <v>0.8</v>
      </c>
      <c r="H10" s="81">
        <v>0.4</v>
      </c>
      <c r="I10" s="81">
        <v>0</v>
      </c>
      <c r="J10" s="81">
        <v>0</v>
      </c>
    </row>
    <row r="11" spans="1:10" x14ac:dyDescent="0.3">
      <c r="A11" t="s">
        <v>56</v>
      </c>
      <c r="B11">
        <f>_xlfn.XLOOKUP(A11,'Financials &amp; Productivity'!A:A,'Financials &amp; Productivity'!B:B)</f>
        <v>2026</v>
      </c>
      <c r="C11" s="109">
        <f>_xlfn.XLOOKUP(A11,'Financials &amp; Productivity'!A:A,'Financials &amp; Productivity'!C:C)</f>
        <v>46023</v>
      </c>
      <c r="D11" t="s">
        <v>94</v>
      </c>
      <c r="E11" t="s">
        <v>165</v>
      </c>
      <c r="F11" s="81">
        <v>0.02</v>
      </c>
      <c r="G11" s="81">
        <v>0.8</v>
      </c>
      <c r="H11" s="81">
        <v>0.4</v>
      </c>
      <c r="I11" s="81">
        <v>0</v>
      </c>
      <c r="J11" s="81">
        <v>0</v>
      </c>
    </row>
    <row r="12" spans="1:10" x14ac:dyDescent="0.3">
      <c r="A12" t="s">
        <v>57</v>
      </c>
      <c r="B12">
        <f>_xlfn.XLOOKUP(A12,'Financials &amp; Productivity'!A:A,'Financials &amp; Productivity'!B:B)</f>
        <v>2026</v>
      </c>
      <c r="C12" s="109">
        <f>_xlfn.XLOOKUP(A12,'Financials &amp; Productivity'!A:A,'Financials &amp; Productivity'!C:C)</f>
        <v>46054</v>
      </c>
      <c r="D12" t="s">
        <v>94</v>
      </c>
      <c r="E12" t="s">
        <v>165</v>
      </c>
      <c r="F12" s="81">
        <v>0.02</v>
      </c>
      <c r="G12" s="81">
        <v>0.8</v>
      </c>
      <c r="H12" s="81">
        <v>0.4</v>
      </c>
      <c r="I12" s="81">
        <v>0</v>
      </c>
      <c r="J12" s="81">
        <v>0</v>
      </c>
    </row>
    <row r="13" spans="1:10" x14ac:dyDescent="0.3">
      <c r="A13" t="s">
        <v>58</v>
      </c>
      <c r="B13">
        <f>_xlfn.XLOOKUP(A13,'Financials &amp; Productivity'!A:A,'Financials &amp; Productivity'!B:B)</f>
        <v>2026</v>
      </c>
      <c r="C13" s="109">
        <f>_xlfn.XLOOKUP(A13,'Financials &amp; Productivity'!A:A,'Financials &amp; Productivity'!C:C)</f>
        <v>46082</v>
      </c>
      <c r="D13" t="s">
        <v>94</v>
      </c>
      <c r="E13" t="s">
        <v>165</v>
      </c>
      <c r="F13" s="81">
        <v>0.02</v>
      </c>
      <c r="G13" s="81">
        <v>0.8</v>
      </c>
      <c r="H13" s="81">
        <v>0.4</v>
      </c>
      <c r="I13" s="81">
        <v>0</v>
      </c>
      <c r="J13" s="81">
        <v>0</v>
      </c>
    </row>
    <row r="14" spans="1:10" x14ac:dyDescent="0.3">
      <c r="A14" t="s">
        <v>40</v>
      </c>
      <c r="B14">
        <f>_xlfn.XLOOKUP(A14,'Financials &amp; Productivity'!A:A,'Financials &amp; Productivity'!B:B)</f>
        <v>2025</v>
      </c>
      <c r="C14" s="109">
        <f>_xlfn.XLOOKUP(A14,'Financials &amp; Productivity'!A:A,'Financials &amp; Productivity'!C:C)</f>
        <v>45748</v>
      </c>
      <c r="D14" t="s">
        <v>99</v>
      </c>
      <c r="E14" t="s">
        <v>165</v>
      </c>
      <c r="F14" s="81">
        <v>0.02</v>
      </c>
      <c r="G14" s="81">
        <v>0.8</v>
      </c>
      <c r="H14" s="81">
        <v>0.4</v>
      </c>
      <c r="I14" s="81">
        <v>0</v>
      </c>
      <c r="J14" s="81">
        <v>0</v>
      </c>
    </row>
    <row r="15" spans="1:10" x14ac:dyDescent="0.3">
      <c r="A15" t="s">
        <v>61</v>
      </c>
      <c r="B15">
        <f>_xlfn.XLOOKUP(A15,'Financials &amp; Productivity'!A:A,'Financials &amp; Productivity'!B:B)</f>
        <v>2025</v>
      </c>
      <c r="C15" s="109">
        <f>_xlfn.XLOOKUP(A15,'Financials &amp; Productivity'!A:A,'Financials &amp; Productivity'!C:C)</f>
        <v>45778</v>
      </c>
      <c r="D15" t="s">
        <v>99</v>
      </c>
      <c r="E15" t="s">
        <v>165</v>
      </c>
      <c r="F15" s="81">
        <v>0.02</v>
      </c>
      <c r="G15" s="81">
        <v>0.8</v>
      </c>
      <c r="H15" s="81">
        <v>0.4</v>
      </c>
      <c r="I15" s="81">
        <v>0</v>
      </c>
      <c r="J15" s="81">
        <v>0</v>
      </c>
    </row>
    <row r="16" spans="1:10" x14ac:dyDescent="0.3">
      <c r="A16" t="s">
        <v>62</v>
      </c>
      <c r="B16">
        <f>_xlfn.XLOOKUP(A16,'Financials &amp; Productivity'!A:A,'Financials &amp; Productivity'!B:B)</f>
        <v>2025</v>
      </c>
      <c r="C16" s="109">
        <f>_xlfn.XLOOKUP(A16,'Financials &amp; Productivity'!A:A,'Financials &amp; Productivity'!C:C)</f>
        <v>45809</v>
      </c>
      <c r="D16" t="s">
        <v>99</v>
      </c>
      <c r="E16" t="s">
        <v>165</v>
      </c>
      <c r="F16" s="81">
        <v>0.02</v>
      </c>
      <c r="G16" s="81">
        <v>0.8</v>
      </c>
      <c r="H16" s="81">
        <v>0.4</v>
      </c>
      <c r="I16" s="81">
        <v>0</v>
      </c>
      <c r="J16" s="81">
        <v>0</v>
      </c>
    </row>
    <row r="17" spans="1:10" x14ac:dyDescent="0.3">
      <c r="A17" t="s">
        <v>49</v>
      </c>
      <c r="B17">
        <f>_xlfn.XLOOKUP(A17,'Financials &amp; Productivity'!A:A,'Financials &amp; Productivity'!B:B)</f>
        <v>2025</v>
      </c>
      <c r="C17" s="109">
        <f>_xlfn.XLOOKUP(A17,'Financials &amp; Productivity'!A:A,'Financials &amp; Productivity'!C:C)</f>
        <v>45839</v>
      </c>
      <c r="D17" t="s">
        <v>99</v>
      </c>
      <c r="E17" t="s">
        <v>165</v>
      </c>
      <c r="F17" s="81">
        <v>0.02</v>
      </c>
      <c r="G17" s="81">
        <v>0.8</v>
      </c>
      <c r="H17" s="81">
        <v>0.4</v>
      </c>
      <c r="I17" s="81">
        <v>0</v>
      </c>
      <c r="J17" s="81">
        <v>0</v>
      </c>
    </row>
    <row r="18" spans="1:10" x14ac:dyDescent="0.3">
      <c r="A18" t="s">
        <v>50</v>
      </c>
      <c r="B18">
        <f>_xlfn.XLOOKUP(A18,'Financials &amp; Productivity'!A:A,'Financials &amp; Productivity'!B:B)</f>
        <v>2025</v>
      </c>
      <c r="C18" s="109">
        <f>_xlfn.XLOOKUP(A18,'Financials &amp; Productivity'!A:A,'Financials &amp; Productivity'!C:C)</f>
        <v>45870</v>
      </c>
      <c r="D18" t="s">
        <v>99</v>
      </c>
      <c r="E18" t="s">
        <v>165</v>
      </c>
      <c r="F18" s="81">
        <v>0.02</v>
      </c>
      <c r="G18" s="81">
        <v>0.8</v>
      </c>
      <c r="H18" s="81">
        <v>0.4</v>
      </c>
      <c r="I18" s="81">
        <v>0</v>
      </c>
      <c r="J18" s="81">
        <v>0</v>
      </c>
    </row>
    <row r="19" spans="1:10" x14ac:dyDescent="0.3">
      <c r="A19" t="s">
        <v>51</v>
      </c>
      <c r="B19">
        <f>_xlfn.XLOOKUP(A19,'Financials &amp; Productivity'!A:A,'Financials &amp; Productivity'!B:B)</f>
        <v>2025</v>
      </c>
      <c r="C19" s="109">
        <f>_xlfn.XLOOKUP(A19,'Financials &amp; Productivity'!A:A,'Financials &amp; Productivity'!C:C)</f>
        <v>45901</v>
      </c>
      <c r="D19" t="s">
        <v>99</v>
      </c>
      <c r="E19" t="s">
        <v>165</v>
      </c>
      <c r="F19" s="81">
        <v>0.02</v>
      </c>
      <c r="G19" s="81">
        <v>0.8</v>
      </c>
      <c r="H19" s="81">
        <v>0.4</v>
      </c>
      <c r="I19" s="81">
        <v>0</v>
      </c>
      <c r="J19" s="81">
        <v>0</v>
      </c>
    </row>
    <row r="20" spans="1:10" x14ac:dyDescent="0.3">
      <c r="A20" t="s">
        <v>52</v>
      </c>
      <c r="B20">
        <f>_xlfn.XLOOKUP(A20,'Financials &amp; Productivity'!A:A,'Financials &amp; Productivity'!B:B)</f>
        <v>2025</v>
      </c>
      <c r="C20" s="109">
        <f>_xlfn.XLOOKUP(A20,'Financials &amp; Productivity'!A:A,'Financials &amp; Productivity'!C:C)</f>
        <v>45931</v>
      </c>
      <c r="D20" t="s">
        <v>99</v>
      </c>
      <c r="E20" t="s">
        <v>165</v>
      </c>
      <c r="F20" s="81">
        <v>0.02</v>
      </c>
      <c r="G20" s="81">
        <v>0.8</v>
      </c>
      <c r="H20" s="81">
        <v>0.4</v>
      </c>
      <c r="I20" s="81">
        <v>0</v>
      </c>
      <c r="J20" s="81">
        <v>0</v>
      </c>
    </row>
    <row r="21" spans="1:10" x14ac:dyDescent="0.3">
      <c r="A21" t="s">
        <v>53</v>
      </c>
      <c r="B21">
        <f>_xlfn.XLOOKUP(A21,'Financials &amp; Productivity'!A:A,'Financials &amp; Productivity'!B:B)</f>
        <v>2025</v>
      </c>
      <c r="C21" s="109">
        <f>_xlfn.XLOOKUP(A21,'Financials &amp; Productivity'!A:A,'Financials &amp; Productivity'!C:C)</f>
        <v>45962</v>
      </c>
      <c r="D21" t="s">
        <v>99</v>
      </c>
      <c r="E21" t="s">
        <v>165</v>
      </c>
      <c r="F21" s="81">
        <v>0.02</v>
      </c>
      <c r="G21" s="81">
        <v>0.8</v>
      </c>
      <c r="H21" s="81">
        <v>0.4</v>
      </c>
      <c r="I21" s="81">
        <v>0</v>
      </c>
      <c r="J21" s="81">
        <v>0</v>
      </c>
    </row>
    <row r="22" spans="1:10" x14ac:dyDescent="0.3">
      <c r="A22" t="s">
        <v>54</v>
      </c>
      <c r="B22">
        <f>_xlfn.XLOOKUP(A22,'Financials &amp; Productivity'!A:A,'Financials &amp; Productivity'!B:B)</f>
        <v>2025</v>
      </c>
      <c r="C22" s="109">
        <f>_xlfn.XLOOKUP(A22,'Financials &amp; Productivity'!A:A,'Financials &amp; Productivity'!C:C)</f>
        <v>45992</v>
      </c>
      <c r="D22" t="s">
        <v>99</v>
      </c>
      <c r="E22" t="s">
        <v>165</v>
      </c>
      <c r="F22" s="81">
        <v>0.02</v>
      </c>
      <c r="G22" s="81">
        <v>0.8</v>
      </c>
      <c r="H22" s="81">
        <v>0.4</v>
      </c>
      <c r="I22" s="81">
        <v>0</v>
      </c>
      <c r="J22" s="81">
        <v>0</v>
      </c>
    </row>
    <row r="23" spans="1:10" x14ac:dyDescent="0.3">
      <c r="A23" t="s">
        <v>56</v>
      </c>
      <c r="B23">
        <f>_xlfn.XLOOKUP(A23,'Financials &amp; Productivity'!A:A,'Financials &amp; Productivity'!B:B)</f>
        <v>2026</v>
      </c>
      <c r="C23" s="109">
        <f>_xlfn.XLOOKUP(A23,'Financials &amp; Productivity'!A:A,'Financials &amp; Productivity'!C:C)</f>
        <v>46023</v>
      </c>
      <c r="D23" t="s">
        <v>99</v>
      </c>
      <c r="E23" t="s">
        <v>165</v>
      </c>
      <c r="F23" s="81">
        <v>0.02</v>
      </c>
      <c r="G23" s="81">
        <v>0.8</v>
      </c>
      <c r="H23" s="81">
        <v>0.4</v>
      </c>
      <c r="I23" s="81">
        <v>0</v>
      </c>
      <c r="J23" s="81">
        <v>0</v>
      </c>
    </row>
    <row r="24" spans="1:10" x14ac:dyDescent="0.3">
      <c r="A24" t="s">
        <v>57</v>
      </c>
      <c r="B24">
        <f>_xlfn.XLOOKUP(A24,'Financials &amp; Productivity'!A:A,'Financials &amp; Productivity'!B:B)</f>
        <v>2026</v>
      </c>
      <c r="C24" s="109">
        <f>_xlfn.XLOOKUP(A24,'Financials &amp; Productivity'!A:A,'Financials &amp; Productivity'!C:C)</f>
        <v>46054</v>
      </c>
      <c r="D24" t="s">
        <v>99</v>
      </c>
      <c r="E24" t="s">
        <v>165</v>
      </c>
      <c r="F24" s="81">
        <v>0.02</v>
      </c>
      <c r="G24" s="81">
        <v>0.8</v>
      </c>
      <c r="H24" s="81">
        <v>0.4</v>
      </c>
      <c r="I24" s="81">
        <v>0</v>
      </c>
      <c r="J24" s="81">
        <v>0</v>
      </c>
    </row>
    <row r="25" spans="1:10" x14ac:dyDescent="0.3">
      <c r="A25" t="s">
        <v>58</v>
      </c>
      <c r="B25">
        <f>_xlfn.XLOOKUP(A25,'Financials &amp; Productivity'!A:A,'Financials &amp; Productivity'!B:B)</f>
        <v>2026</v>
      </c>
      <c r="C25" s="109">
        <f>_xlfn.XLOOKUP(A25,'Financials &amp; Productivity'!A:A,'Financials &amp; Productivity'!C:C)</f>
        <v>46082</v>
      </c>
      <c r="D25" t="s">
        <v>99</v>
      </c>
      <c r="E25" t="s">
        <v>165</v>
      </c>
      <c r="F25" s="81">
        <v>0.02</v>
      </c>
      <c r="G25" s="81">
        <v>0.8</v>
      </c>
      <c r="H25" s="81">
        <v>0.4</v>
      </c>
      <c r="I25" s="81">
        <v>0</v>
      </c>
      <c r="J25" s="81">
        <v>0</v>
      </c>
    </row>
    <row r="26" spans="1:10" x14ac:dyDescent="0.3">
      <c r="A26" t="s">
        <v>40</v>
      </c>
      <c r="B26">
        <f>_xlfn.XLOOKUP(A26,'Financials &amp; Productivity'!A:A,'Financials &amp; Productivity'!B:B)</f>
        <v>2025</v>
      </c>
      <c r="C26" s="109">
        <f>_xlfn.XLOOKUP(A26,'Financials &amp; Productivity'!A:A,'Financials &amp; Productivity'!C:C)</f>
        <v>45748</v>
      </c>
      <c r="D26" t="s">
        <v>100</v>
      </c>
      <c r="E26" t="s">
        <v>165</v>
      </c>
      <c r="F26" s="81">
        <v>0.02</v>
      </c>
      <c r="G26" s="81">
        <v>0.8</v>
      </c>
      <c r="H26" s="81">
        <v>0.4</v>
      </c>
      <c r="I26" s="81">
        <v>0</v>
      </c>
      <c r="J26" s="81">
        <v>0</v>
      </c>
    </row>
    <row r="27" spans="1:10" x14ac:dyDescent="0.3">
      <c r="A27" t="s">
        <v>61</v>
      </c>
      <c r="B27">
        <f>_xlfn.XLOOKUP(A27,'Financials &amp; Productivity'!A:A,'Financials &amp; Productivity'!B:B)</f>
        <v>2025</v>
      </c>
      <c r="C27" s="109">
        <f>_xlfn.XLOOKUP(A27,'Financials &amp; Productivity'!A:A,'Financials &amp; Productivity'!C:C)</f>
        <v>45778</v>
      </c>
      <c r="D27" t="s">
        <v>100</v>
      </c>
      <c r="E27" t="s">
        <v>165</v>
      </c>
      <c r="F27" s="81">
        <v>0.02</v>
      </c>
      <c r="G27" s="81">
        <v>0.8</v>
      </c>
      <c r="H27" s="81">
        <v>0.4</v>
      </c>
      <c r="I27" s="81">
        <v>0</v>
      </c>
      <c r="J27" s="81">
        <v>0</v>
      </c>
    </row>
    <row r="28" spans="1:10" x14ac:dyDescent="0.3">
      <c r="A28" t="s">
        <v>62</v>
      </c>
      <c r="B28">
        <f>_xlfn.XLOOKUP(A28,'Financials &amp; Productivity'!A:A,'Financials &amp; Productivity'!B:B)</f>
        <v>2025</v>
      </c>
      <c r="C28" s="109">
        <f>_xlfn.XLOOKUP(A28,'Financials &amp; Productivity'!A:A,'Financials &amp; Productivity'!C:C)</f>
        <v>45809</v>
      </c>
      <c r="D28" t="s">
        <v>100</v>
      </c>
      <c r="E28" t="s">
        <v>165</v>
      </c>
      <c r="F28" s="81">
        <v>0.02</v>
      </c>
      <c r="G28" s="81">
        <v>0.8</v>
      </c>
      <c r="H28" s="81">
        <v>0.4</v>
      </c>
      <c r="I28" s="81">
        <v>0</v>
      </c>
      <c r="J28" s="81">
        <v>0</v>
      </c>
    </row>
    <row r="29" spans="1:10" x14ac:dyDescent="0.3">
      <c r="A29" t="s">
        <v>49</v>
      </c>
      <c r="B29">
        <f>_xlfn.XLOOKUP(A29,'Financials &amp; Productivity'!A:A,'Financials &amp; Productivity'!B:B)</f>
        <v>2025</v>
      </c>
      <c r="C29" s="109">
        <f>_xlfn.XLOOKUP(A29,'Financials &amp; Productivity'!A:A,'Financials &amp; Productivity'!C:C)</f>
        <v>45839</v>
      </c>
      <c r="D29" t="s">
        <v>100</v>
      </c>
      <c r="E29" t="s">
        <v>165</v>
      </c>
      <c r="F29" s="81">
        <v>0.02</v>
      </c>
      <c r="G29" s="81">
        <v>0.8</v>
      </c>
      <c r="H29" s="81">
        <v>0.4</v>
      </c>
      <c r="I29" s="81">
        <v>0</v>
      </c>
      <c r="J29" s="81">
        <v>0</v>
      </c>
    </row>
    <row r="30" spans="1:10" x14ac:dyDescent="0.3">
      <c r="A30" t="s">
        <v>50</v>
      </c>
      <c r="B30">
        <f>_xlfn.XLOOKUP(A30,'Financials &amp; Productivity'!A:A,'Financials &amp; Productivity'!B:B)</f>
        <v>2025</v>
      </c>
      <c r="C30" s="109">
        <f>_xlfn.XLOOKUP(A30,'Financials &amp; Productivity'!A:A,'Financials &amp; Productivity'!C:C)</f>
        <v>45870</v>
      </c>
      <c r="D30" t="s">
        <v>100</v>
      </c>
      <c r="E30" t="s">
        <v>165</v>
      </c>
      <c r="F30" s="81">
        <v>0.02</v>
      </c>
      <c r="G30" s="81">
        <v>0.8</v>
      </c>
      <c r="H30" s="81">
        <v>0.4</v>
      </c>
      <c r="I30" s="81">
        <v>0</v>
      </c>
      <c r="J30" s="81">
        <v>0</v>
      </c>
    </row>
    <row r="31" spans="1:10" x14ac:dyDescent="0.3">
      <c r="A31" t="s">
        <v>51</v>
      </c>
      <c r="B31">
        <f>_xlfn.XLOOKUP(A31,'Financials &amp; Productivity'!A:A,'Financials &amp; Productivity'!B:B)</f>
        <v>2025</v>
      </c>
      <c r="C31" s="109">
        <f>_xlfn.XLOOKUP(A31,'Financials &amp; Productivity'!A:A,'Financials &amp; Productivity'!C:C)</f>
        <v>45901</v>
      </c>
      <c r="D31" t="s">
        <v>100</v>
      </c>
      <c r="E31" t="s">
        <v>165</v>
      </c>
      <c r="F31" s="81">
        <v>0.02</v>
      </c>
      <c r="G31" s="81">
        <v>0.8</v>
      </c>
      <c r="H31" s="81">
        <v>0.4</v>
      </c>
      <c r="I31" s="81">
        <v>0</v>
      </c>
      <c r="J31" s="81">
        <v>0</v>
      </c>
    </row>
    <row r="32" spans="1:10" x14ac:dyDescent="0.3">
      <c r="A32" t="s">
        <v>52</v>
      </c>
      <c r="B32">
        <f>_xlfn.XLOOKUP(A32,'Financials &amp; Productivity'!A:A,'Financials &amp; Productivity'!B:B)</f>
        <v>2025</v>
      </c>
      <c r="C32" s="109">
        <f>_xlfn.XLOOKUP(A32,'Financials &amp; Productivity'!A:A,'Financials &amp; Productivity'!C:C)</f>
        <v>45931</v>
      </c>
      <c r="D32" t="s">
        <v>100</v>
      </c>
      <c r="E32" t="s">
        <v>165</v>
      </c>
      <c r="F32" s="81">
        <v>0.02</v>
      </c>
      <c r="G32" s="81">
        <v>0.8</v>
      </c>
      <c r="H32" s="81">
        <v>0.4</v>
      </c>
      <c r="I32" s="81">
        <v>0</v>
      </c>
      <c r="J32" s="81">
        <v>0</v>
      </c>
    </row>
    <row r="33" spans="1:10" x14ac:dyDescent="0.3">
      <c r="A33" t="s">
        <v>53</v>
      </c>
      <c r="B33">
        <f>_xlfn.XLOOKUP(A33,'Financials &amp; Productivity'!A:A,'Financials &amp; Productivity'!B:B)</f>
        <v>2025</v>
      </c>
      <c r="C33" s="109">
        <f>_xlfn.XLOOKUP(A33,'Financials &amp; Productivity'!A:A,'Financials &amp; Productivity'!C:C)</f>
        <v>45962</v>
      </c>
      <c r="D33" t="s">
        <v>100</v>
      </c>
      <c r="E33" t="s">
        <v>165</v>
      </c>
      <c r="F33" s="81">
        <v>0.02</v>
      </c>
      <c r="G33" s="81">
        <v>0.8</v>
      </c>
      <c r="H33" s="81">
        <v>0.4</v>
      </c>
      <c r="I33" s="81">
        <v>0</v>
      </c>
      <c r="J33" s="81">
        <v>0</v>
      </c>
    </row>
    <row r="34" spans="1:10" x14ac:dyDescent="0.3">
      <c r="A34" t="s">
        <v>54</v>
      </c>
      <c r="B34">
        <f>_xlfn.XLOOKUP(A34,'Financials &amp; Productivity'!A:A,'Financials &amp; Productivity'!B:B)</f>
        <v>2025</v>
      </c>
      <c r="C34" s="109">
        <f>_xlfn.XLOOKUP(A34,'Financials &amp; Productivity'!A:A,'Financials &amp; Productivity'!C:C)</f>
        <v>45992</v>
      </c>
      <c r="D34" t="s">
        <v>100</v>
      </c>
      <c r="E34" t="s">
        <v>165</v>
      </c>
      <c r="F34" s="81">
        <v>0.02</v>
      </c>
      <c r="G34" s="81">
        <v>0.8</v>
      </c>
      <c r="H34" s="81">
        <v>0.4</v>
      </c>
      <c r="I34" s="81">
        <v>0</v>
      </c>
      <c r="J34" s="81">
        <v>0</v>
      </c>
    </row>
    <row r="35" spans="1:10" x14ac:dyDescent="0.3">
      <c r="A35" t="s">
        <v>56</v>
      </c>
      <c r="B35">
        <f>_xlfn.XLOOKUP(A35,'Financials &amp; Productivity'!A:A,'Financials &amp; Productivity'!B:B)</f>
        <v>2026</v>
      </c>
      <c r="C35" s="109">
        <f>_xlfn.XLOOKUP(A35,'Financials &amp; Productivity'!A:A,'Financials &amp; Productivity'!C:C)</f>
        <v>46023</v>
      </c>
      <c r="D35" t="s">
        <v>100</v>
      </c>
      <c r="E35" t="s">
        <v>165</v>
      </c>
      <c r="F35" s="81">
        <v>0.02</v>
      </c>
      <c r="G35" s="81">
        <v>0.8</v>
      </c>
      <c r="H35" s="81">
        <v>0.4</v>
      </c>
      <c r="I35" s="81">
        <v>0</v>
      </c>
      <c r="J35" s="81">
        <v>0</v>
      </c>
    </row>
    <row r="36" spans="1:10" x14ac:dyDescent="0.3">
      <c r="A36" t="s">
        <v>57</v>
      </c>
      <c r="B36">
        <f>_xlfn.XLOOKUP(A36,'Financials &amp; Productivity'!A:A,'Financials &amp; Productivity'!B:B)</f>
        <v>2026</v>
      </c>
      <c r="C36" s="109">
        <f>_xlfn.XLOOKUP(A36,'Financials &amp; Productivity'!A:A,'Financials &amp; Productivity'!C:C)</f>
        <v>46054</v>
      </c>
      <c r="D36" t="s">
        <v>100</v>
      </c>
      <c r="E36" t="s">
        <v>165</v>
      </c>
      <c r="F36" s="81">
        <v>0.02</v>
      </c>
      <c r="G36" s="81">
        <v>0.8</v>
      </c>
      <c r="H36" s="81">
        <v>0.4</v>
      </c>
      <c r="I36" s="81">
        <v>0</v>
      </c>
      <c r="J36" s="81">
        <v>0</v>
      </c>
    </row>
    <row r="37" spans="1:10" x14ac:dyDescent="0.3">
      <c r="A37" t="s">
        <v>58</v>
      </c>
      <c r="B37">
        <f>_xlfn.XLOOKUP(A37,'Financials &amp; Productivity'!A:A,'Financials &amp; Productivity'!B:B)</f>
        <v>2026</v>
      </c>
      <c r="C37" s="109">
        <f>_xlfn.XLOOKUP(A37,'Financials &amp; Productivity'!A:A,'Financials &amp; Productivity'!C:C)</f>
        <v>46082</v>
      </c>
      <c r="D37" t="s">
        <v>100</v>
      </c>
      <c r="E37" t="s">
        <v>165</v>
      </c>
      <c r="F37" s="81">
        <v>0.02</v>
      </c>
      <c r="G37" s="81">
        <v>0.8</v>
      </c>
      <c r="H37" s="81">
        <v>0.4</v>
      </c>
      <c r="I37" s="81">
        <v>0</v>
      </c>
      <c r="J37" s="81">
        <v>0</v>
      </c>
    </row>
  </sheetData>
  <autoFilter ref="A1:J37" xr:uid="{BDC2D247-EFED-44D6-A62E-BC36D23E5C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Financials &amp; Productivity</vt:lpstr>
      <vt:lpstr>Absenteeism</vt:lpstr>
      <vt:lpstr>Emp Master</vt:lpstr>
      <vt:lpstr>HR Metrics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mishane peiris</cp:lastModifiedBy>
  <cp:lastPrinted>2024-07-15T20:10:52Z</cp:lastPrinted>
  <dcterms:created xsi:type="dcterms:W3CDTF">2015-03-31T11:23:42Z</dcterms:created>
  <dcterms:modified xsi:type="dcterms:W3CDTF">2026-05-13T22:02:39Z</dcterms:modified>
</cp:coreProperties>
</file>